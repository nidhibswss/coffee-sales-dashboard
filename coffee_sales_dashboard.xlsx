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yam\Downloads\"/>
    </mc:Choice>
  </mc:AlternateContent>
  <xr:revisionPtr revIDLastSave="0" documentId="13_ncr:1_{4107803C-06C3-43D7-8E95-CFFC0F1BDA59}" xr6:coauthVersionLast="36" xr6:coauthVersionMax="47" xr10:uidLastSave="{00000000-0000-0000-0000-000000000000}"/>
  <bookViews>
    <workbookView xWindow="240" yWindow="108" windowWidth="14808" windowHeight="8016" activeTab="2" xr2:uid="{00000000-000D-0000-FFFF-FFFF00000000}"/>
  </bookViews>
  <sheets>
    <sheet name="customer_data" sheetId="1" r:id="rId1"/>
    <sheet name="TotalSales" sheetId="4" r:id="rId2"/>
    <sheet name="Dashboard" sheetId="5" r:id="rId3"/>
    <sheet name="order_data" sheetId="2" r:id="rId4"/>
    <sheet name="Product_data" sheetId="3" r:id="rId5"/>
  </sheets>
  <definedNames>
    <definedName name="NativeTimeline_Order_Date">#N/A</definedName>
  </definedNames>
  <calcPr calcId="191028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2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I28" i="2"/>
  <c r="J28" i="2"/>
  <c r="K28" i="2"/>
  <c r="L28" i="2"/>
  <c r="I29" i="2"/>
  <c r="J29" i="2"/>
  <c r="K29" i="2"/>
  <c r="L29" i="2"/>
  <c r="I30" i="2"/>
  <c r="J30" i="2"/>
  <c r="K30" i="2"/>
  <c r="L30" i="2"/>
  <c r="I31" i="2"/>
  <c r="J31" i="2"/>
  <c r="K31" i="2"/>
  <c r="L31" i="2"/>
  <c r="I32" i="2"/>
  <c r="J32" i="2"/>
  <c r="K32" i="2"/>
  <c r="L32" i="2"/>
  <c r="I33" i="2"/>
  <c r="J33" i="2"/>
  <c r="K33" i="2"/>
  <c r="L33" i="2"/>
  <c r="I34" i="2"/>
  <c r="J34" i="2"/>
  <c r="K34" i="2"/>
  <c r="L34" i="2"/>
  <c r="I35" i="2"/>
  <c r="J35" i="2"/>
  <c r="K35" i="2"/>
  <c r="L35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I41" i="2"/>
  <c r="J41" i="2"/>
  <c r="K41" i="2"/>
  <c r="L41" i="2"/>
  <c r="I42" i="2"/>
  <c r="J42" i="2"/>
  <c r="K42" i="2"/>
  <c r="L42" i="2"/>
  <c r="I43" i="2"/>
  <c r="J43" i="2"/>
  <c r="K43" i="2"/>
  <c r="L43" i="2"/>
  <c r="I44" i="2"/>
  <c r="J44" i="2"/>
  <c r="K44" i="2"/>
  <c r="L44" i="2"/>
  <c r="I45" i="2"/>
  <c r="J45" i="2"/>
  <c r="K45" i="2"/>
  <c r="L45" i="2"/>
  <c r="I46" i="2"/>
  <c r="J46" i="2"/>
  <c r="K46" i="2"/>
  <c r="L46" i="2"/>
  <c r="I47" i="2"/>
  <c r="J47" i="2"/>
  <c r="K47" i="2"/>
  <c r="L47" i="2"/>
  <c r="I48" i="2"/>
  <c r="J48" i="2"/>
  <c r="K48" i="2"/>
  <c r="L48" i="2"/>
  <c r="I49" i="2"/>
  <c r="J49" i="2"/>
  <c r="K49" i="2"/>
  <c r="L49" i="2"/>
  <c r="I50" i="2"/>
  <c r="J50" i="2"/>
  <c r="K50" i="2"/>
  <c r="L50" i="2"/>
  <c r="I51" i="2"/>
  <c r="J51" i="2"/>
  <c r="K51" i="2"/>
  <c r="L51" i="2"/>
  <c r="I52" i="2"/>
  <c r="J52" i="2"/>
  <c r="K52" i="2"/>
  <c r="L52" i="2"/>
  <c r="I53" i="2"/>
  <c r="J53" i="2"/>
  <c r="K53" i="2"/>
  <c r="L53" i="2"/>
  <c r="I54" i="2"/>
  <c r="J54" i="2"/>
  <c r="K54" i="2"/>
  <c r="L54" i="2"/>
  <c r="I55" i="2"/>
  <c r="J55" i="2"/>
  <c r="K55" i="2"/>
  <c r="L55" i="2"/>
  <c r="I56" i="2"/>
  <c r="J56" i="2"/>
  <c r="K56" i="2"/>
  <c r="L56" i="2"/>
  <c r="I57" i="2"/>
  <c r="J57" i="2"/>
  <c r="K57" i="2"/>
  <c r="L57" i="2"/>
  <c r="I58" i="2"/>
  <c r="J58" i="2"/>
  <c r="K58" i="2"/>
  <c r="L58" i="2"/>
  <c r="I59" i="2"/>
  <c r="J59" i="2"/>
  <c r="K59" i="2"/>
  <c r="L59" i="2"/>
  <c r="I60" i="2"/>
  <c r="J60" i="2"/>
  <c r="K60" i="2"/>
  <c r="L60" i="2"/>
  <c r="I61" i="2"/>
  <c r="J61" i="2"/>
  <c r="K61" i="2"/>
  <c r="L61" i="2"/>
  <c r="I62" i="2"/>
  <c r="J62" i="2"/>
  <c r="K62" i="2"/>
  <c r="L62" i="2"/>
  <c r="I63" i="2"/>
  <c r="J63" i="2"/>
  <c r="K63" i="2"/>
  <c r="L63" i="2"/>
  <c r="I64" i="2"/>
  <c r="J64" i="2"/>
  <c r="K64" i="2"/>
  <c r="L64" i="2"/>
  <c r="I65" i="2"/>
  <c r="J65" i="2"/>
  <c r="K65" i="2"/>
  <c r="L65" i="2"/>
  <c r="I66" i="2"/>
  <c r="J66" i="2"/>
  <c r="K66" i="2"/>
  <c r="L66" i="2"/>
  <c r="I67" i="2"/>
  <c r="J67" i="2"/>
  <c r="K67" i="2"/>
  <c r="L67" i="2"/>
  <c r="I68" i="2"/>
  <c r="J68" i="2"/>
  <c r="K68" i="2"/>
  <c r="L68" i="2"/>
  <c r="I69" i="2"/>
  <c r="J69" i="2"/>
  <c r="K69" i="2"/>
  <c r="L69" i="2"/>
  <c r="I70" i="2"/>
  <c r="J70" i="2"/>
  <c r="K70" i="2"/>
  <c r="L70" i="2"/>
  <c r="I71" i="2"/>
  <c r="J71" i="2"/>
  <c r="K71" i="2"/>
  <c r="L71" i="2"/>
  <c r="I72" i="2"/>
  <c r="J72" i="2"/>
  <c r="K72" i="2"/>
  <c r="L72" i="2"/>
  <c r="I73" i="2"/>
  <c r="J73" i="2"/>
  <c r="K73" i="2"/>
  <c r="L73" i="2"/>
  <c r="I74" i="2"/>
  <c r="J74" i="2"/>
  <c r="K74" i="2"/>
  <c r="L74" i="2"/>
  <c r="I75" i="2"/>
  <c r="J75" i="2"/>
  <c r="K75" i="2"/>
  <c r="L75" i="2"/>
  <c r="I76" i="2"/>
  <c r="J76" i="2"/>
  <c r="K76" i="2"/>
  <c r="L76" i="2"/>
  <c r="I77" i="2"/>
  <c r="J77" i="2"/>
  <c r="K77" i="2"/>
  <c r="L77" i="2"/>
  <c r="I78" i="2"/>
  <c r="J78" i="2"/>
  <c r="K78" i="2"/>
  <c r="L78" i="2"/>
  <c r="I79" i="2"/>
  <c r="J79" i="2"/>
  <c r="K79" i="2"/>
  <c r="L79" i="2"/>
  <c r="I80" i="2"/>
  <c r="J80" i="2"/>
  <c r="K80" i="2"/>
  <c r="L80" i="2"/>
  <c r="I81" i="2"/>
  <c r="J81" i="2"/>
  <c r="K81" i="2"/>
  <c r="L81" i="2"/>
  <c r="I82" i="2"/>
  <c r="J82" i="2"/>
  <c r="K82" i="2"/>
  <c r="L82" i="2"/>
  <c r="I83" i="2"/>
  <c r="J83" i="2"/>
  <c r="K83" i="2"/>
  <c r="L83" i="2"/>
  <c r="I84" i="2"/>
  <c r="J84" i="2"/>
  <c r="K84" i="2"/>
  <c r="L84" i="2"/>
  <c r="I85" i="2"/>
  <c r="J85" i="2"/>
  <c r="K85" i="2"/>
  <c r="L85" i="2"/>
  <c r="I86" i="2"/>
  <c r="J86" i="2"/>
  <c r="K86" i="2"/>
  <c r="L86" i="2"/>
  <c r="I87" i="2"/>
  <c r="J87" i="2"/>
  <c r="K87" i="2"/>
  <c r="L87" i="2"/>
  <c r="I88" i="2"/>
  <c r="J88" i="2"/>
  <c r="K88" i="2"/>
  <c r="L88" i="2"/>
  <c r="I89" i="2"/>
  <c r="J89" i="2"/>
  <c r="K89" i="2"/>
  <c r="L89" i="2"/>
  <c r="I90" i="2"/>
  <c r="J90" i="2"/>
  <c r="K90" i="2"/>
  <c r="L90" i="2"/>
  <c r="I91" i="2"/>
  <c r="J91" i="2"/>
  <c r="K91" i="2"/>
  <c r="L91" i="2"/>
  <c r="I92" i="2"/>
  <c r="J92" i="2"/>
  <c r="K92" i="2"/>
  <c r="L92" i="2"/>
  <c r="I93" i="2"/>
  <c r="J93" i="2"/>
  <c r="K93" i="2"/>
  <c r="L93" i="2"/>
  <c r="I94" i="2"/>
  <c r="J94" i="2"/>
  <c r="K94" i="2"/>
  <c r="L94" i="2"/>
  <c r="I95" i="2"/>
  <c r="J95" i="2"/>
  <c r="K95" i="2"/>
  <c r="L95" i="2"/>
  <c r="I96" i="2"/>
  <c r="J96" i="2"/>
  <c r="K96" i="2"/>
  <c r="L96" i="2"/>
  <c r="I97" i="2"/>
  <c r="J97" i="2"/>
  <c r="K97" i="2"/>
  <c r="L97" i="2"/>
  <c r="I98" i="2"/>
  <c r="J98" i="2"/>
  <c r="K98" i="2"/>
  <c r="L98" i="2"/>
  <c r="I99" i="2"/>
  <c r="J99" i="2"/>
  <c r="K99" i="2"/>
  <c r="L99" i="2"/>
  <c r="I100" i="2"/>
  <c r="J100" i="2"/>
  <c r="K100" i="2"/>
  <c r="L100" i="2"/>
  <c r="I101" i="2"/>
  <c r="J101" i="2"/>
  <c r="K101" i="2"/>
  <c r="L101" i="2"/>
  <c r="I102" i="2"/>
  <c r="J102" i="2"/>
  <c r="K102" i="2"/>
  <c r="L102" i="2"/>
  <c r="I103" i="2"/>
  <c r="J103" i="2"/>
  <c r="K103" i="2"/>
  <c r="L103" i="2"/>
  <c r="I104" i="2"/>
  <c r="J104" i="2"/>
  <c r="K104" i="2"/>
  <c r="L104" i="2"/>
  <c r="I105" i="2"/>
  <c r="J105" i="2"/>
  <c r="K105" i="2"/>
  <c r="L105" i="2"/>
  <c r="I106" i="2"/>
  <c r="J106" i="2"/>
  <c r="K106" i="2"/>
  <c r="L106" i="2"/>
  <c r="I107" i="2"/>
  <c r="J107" i="2"/>
  <c r="K107" i="2"/>
  <c r="L107" i="2"/>
  <c r="I108" i="2"/>
  <c r="J108" i="2"/>
  <c r="K108" i="2"/>
  <c r="L108" i="2"/>
  <c r="I109" i="2"/>
  <c r="J109" i="2"/>
  <c r="K109" i="2"/>
  <c r="L109" i="2"/>
  <c r="I110" i="2"/>
  <c r="J110" i="2"/>
  <c r="K110" i="2"/>
  <c r="L110" i="2"/>
  <c r="I111" i="2"/>
  <c r="J111" i="2"/>
  <c r="K111" i="2"/>
  <c r="L111" i="2"/>
  <c r="I112" i="2"/>
  <c r="J112" i="2"/>
  <c r="K112" i="2"/>
  <c r="L112" i="2"/>
  <c r="I113" i="2"/>
  <c r="J113" i="2"/>
  <c r="K113" i="2"/>
  <c r="L113" i="2"/>
  <c r="I114" i="2"/>
  <c r="J114" i="2"/>
  <c r="K114" i="2"/>
  <c r="L114" i="2"/>
  <c r="I115" i="2"/>
  <c r="J115" i="2"/>
  <c r="K115" i="2"/>
  <c r="L115" i="2"/>
  <c r="I116" i="2"/>
  <c r="J116" i="2"/>
  <c r="K116" i="2"/>
  <c r="L116" i="2"/>
  <c r="I117" i="2"/>
  <c r="J117" i="2"/>
  <c r="K117" i="2"/>
  <c r="L117" i="2"/>
  <c r="I118" i="2"/>
  <c r="J118" i="2"/>
  <c r="K118" i="2"/>
  <c r="L118" i="2"/>
  <c r="I119" i="2"/>
  <c r="J119" i="2"/>
  <c r="K119" i="2"/>
  <c r="L119" i="2"/>
  <c r="I120" i="2"/>
  <c r="J120" i="2"/>
  <c r="K120" i="2"/>
  <c r="L120" i="2"/>
  <c r="I121" i="2"/>
  <c r="J121" i="2"/>
  <c r="K121" i="2"/>
  <c r="L121" i="2"/>
  <c r="I122" i="2"/>
  <c r="J122" i="2"/>
  <c r="K122" i="2"/>
  <c r="L122" i="2"/>
  <c r="I123" i="2"/>
  <c r="J123" i="2"/>
  <c r="K123" i="2"/>
  <c r="L123" i="2"/>
  <c r="I124" i="2"/>
  <c r="J124" i="2"/>
  <c r="K124" i="2"/>
  <c r="L124" i="2"/>
  <c r="I125" i="2"/>
  <c r="J125" i="2"/>
  <c r="K125" i="2"/>
  <c r="L125" i="2"/>
  <c r="I126" i="2"/>
  <c r="J126" i="2"/>
  <c r="K126" i="2"/>
  <c r="L126" i="2"/>
  <c r="I127" i="2"/>
  <c r="J127" i="2"/>
  <c r="K127" i="2"/>
  <c r="L127" i="2"/>
  <c r="I128" i="2"/>
  <c r="J128" i="2"/>
  <c r="K128" i="2"/>
  <c r="L128" i="2"/>
  <c r="I129" i="2"/>
  <c r="J129" i="2"/>
  <c r="K129" i="2"/>
  <c r="L129" i="2"/>
  <c r="I130" i="2"/>
  <c r="J130" i="2"/>
  <c r="K130" i="2"/>
  <c r="L130" i="2"/>
  <c r="J2" i="2"/>
  <c r="K2" i="2"/>
  <c r="L2" i="2"/>
  <c r="I2" i="2"/>
  <c r="H2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3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4" i="2"/>
  <c r="G5" i="2"/>
  <c r="G6" i="2"/>
  <c r="G7" i="2"/>
  <c r="G2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55" i="2"/>
  <c r="F56" i="2"/>
  <c r="F57" i="2"/>
  <c r="F58" i="2"/>
  <c r="F59" i="2"/>
  <c r="F60" i="2"/>
  <c r="F61" i="2"/>
  <c r="G2" i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3" i="2"/>
  <c r="F4" i="2"/>
  <c r="F5" i="2"/>
  <c r="F6" i="2"/>
  <c r="F7" i="2"/>
  <c r="F8" i="2"/>
  <c r="F9" i="2"/>
  <c r="F10" i="2"/>
  <c r="F11" i="2"/>
  <c r="F12" i="2"/>
  <c r="F2" i="2"/>
</calcChain>
</file>

<file path=xl/sharedStrings.xml><?xml version="1.0" encoding="utf-8"?>
<sst xmlns="http://schemas.openxmlformats.org/spreadsheetml/2006/main" count="1867" uniqueCount="1125">
  <si>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</si>
  <si>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</si>
  <si>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</si>
  <si>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</si>
  <si>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</si>
  <si>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</si>
  <si>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</si>
  <si>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</si>
  <si>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</si>
  <si>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</si>
  <si>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</si>
  <si>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</si>
  <si>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</si>
  <si>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</si>
  <si>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</si>
  <si>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</si>
  <si>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</si>
  <si>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</si>
  <si>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</si>
  <si>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</si>
  <si>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</si>
  <si>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</si>
  <si>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</si>
  <si>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</si>
  <si>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</si>
  <si>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</si>
  <si>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</si>
  <si>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</si>
  <si>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</si>
  <si>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</si>
  <si>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</si>
  <si>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</si>
  <si>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</si>
  <si>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</si>
  <si>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</si>
  <si>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</si>
  <si>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</si>
  <si>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</si>
  <si>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</si>
  <si>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</si>
  <si>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</si>
  <si>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</si>
  <si>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</si>
  <si>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</si>
  <si>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</si>
  <si>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</si>
  <si>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</si>
  <si>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</si>
  <si>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</si>
  <si>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</si>
  <si>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</si>
  <si>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</si>
  <si>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</si>
  <si>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</si>
  <si>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</si>
  <si>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</si>
  <si>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</si>
  <si>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</si>
  <si>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</si>
  <si>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</si>
  <si>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</si>
  <si>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</si>
  <si>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</si>
  <si>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</si>
  <si>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</si>
  <si>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</si>
  <si>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</si>
  <si>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</si>
  <si>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</si>
  <si>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</si>
  <si>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</si>
  <si>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</si>
  <si>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</si>
  <si>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</si>
  <si>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</si>
  <si>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</si>
  <si>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</si>
  <si>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</si>
  <si>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</si>
  <si>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</si>
  <si>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</si>
  <si>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</si>
  <si>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</si>
  <si>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</si>
  <si>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</si>
  <si>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</si>
  <si>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</si>
  <si>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</si>
  <si>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</si>
  <si>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</si>
  <si>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</si>
  <si>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</si>
  <si>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</si>
  <si>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</si>
  <si>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</si>
  <si>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</si>
  <si>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</si>
  <si>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</si>
  <si>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</si>
  <si>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</si>
  <si>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</si>
  <si>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</si>
  <si>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</si>
  <si>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</si>
  <si>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</si>
  <si>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</si>
  <si>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</si>
  <si>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</si>
  <si>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</si>
  <si>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</si>
  <si>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</si>
  <si>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</si>
  <si>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</si>
  <si>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</si>
  <si>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</si>
  <si>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</si>
  <si>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</si>
  <si>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</si>
  <si>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</si>
  <si>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</si>
  <si>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</si>
  <si>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</si>
  <si>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</si>
  <si>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</si>
  <si>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</si>
  <si>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</si>
  <si>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</si>
  <si>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</si>
  <si>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</si>
  <si>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</si>
  <si>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</si>
  <si>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</si>
  <si>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</si>
  <si>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</si>
  <si>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</si>
  <si>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</si>
  <si>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</si>
  <si>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</si>
  <si>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</si>
  <si>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</si>
  <si>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</si>
  <si>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</si>
  <si>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</si>
  <si>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</si>
  <si>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</si>
  <si>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</si>
  <si>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</si>
  <si>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</si>
  <si>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</si>
  <si>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</si>
  <si>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</si>
  <si>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</si>
  <si>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</si>
  <si>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</si>
  <si>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</si>
  <si>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</si>
  <si>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</si>
  <si>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</si>
  <si>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</si>
  <si>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</si>
  <si>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</si>
  <si>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</si>
  <si>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</si>
  <si>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</si>
  <si>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</si>
  <si>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</si>
  <si>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</si>
  <si>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</si>
  <si>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</si>
  <si>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</si>
  <si>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</si>
  <si>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</si>
  <si>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</si>
  <si>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</si>
  <si>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</si>
  <si>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</si>
  <si>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</si>
  <si>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</si>
  <si>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</si>
  <si>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</si>
  <si>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</si>
  <si>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</si>
  <si>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</si>
  <si>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</si>
  <si>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</si>
  <si>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</si>
  <si>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</si>
  <si>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</si>
  <si>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</si>
  <si>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</si>
  <si>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</si>
  <si>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</si>
  <si>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</si>
  <si>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</si>
  <si>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</si>
  <si>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</si>
  <si>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</si>
  <si>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</si>
  <si>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</si>
  <si>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</si>
  <si>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</si>
  <si>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</si>
  <si>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</si>
  <si>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</si>
  <si>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</si>
  <si>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</si>
  <si>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</si>
  <si>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</si>
  <si>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</si>
  <si>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</si>
  <si>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</si>
  <si>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</si>
  <si>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</si>
  <si>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</si>
  <si>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</si>
  <si>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</si>
  <si>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</si>
  <si>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</si>
  <si>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</si>
  <si>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</si>
  <si>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</si>
  <si>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</si>
  <si>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</si>
  <si>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</si>
  <si>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</si>
  <si>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</si>
  <si>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</si>
  <si>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</si>
  <si>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</si>
  <si>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</si>
  <si>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</si>
  <si>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</si>
  <si>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</si>
  <si>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</si>
  <si>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</si>
  <si>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</si>
  <si>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</si>
  <si>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</si>
  <si>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</si>
  <si>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</si>
  <si>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</si>
  <si>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</si>
  <si>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</si>
  <si>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</si>
  <si>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</si>
  <si>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</si>
  <si>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</si>
  <si>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</si>
  <si>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</si>
  <si>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</si>
  <si>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</si>
  <si>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</si>
  <si>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</si>
  <si>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</si>
  <si>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</si>
  <si>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</si>
  <si>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</si>
  <si>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</si>
  <si>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</si>
  <si>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</si>
  <si>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</si>
  <si>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</si>
  <si>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</si>
  <si>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</si>
  <si>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</si>
  <si>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</si>
  <si>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</si>
  <si>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</si>
  <si>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</si>
  <si>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</si>
  <si>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</si>
  <si>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</si>
  <si>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</si>
  <si>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</si>
  <si>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</si>
  <si>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</si>
  <si>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</si>
  <si>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</si>
  <si>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</si>
  <si>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</si>
  <si>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</si>
  <si>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</si>
  <si>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</si>
  <si>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</si>
  <si>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</si>
  <si>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</si>
  <si>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</si>
  <si>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</si>
  <si>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</si>
  <si>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</si>
  <si>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</si>
  <si>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</si>
  <si>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</si>
  <si>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</si>
  <si>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</si>
  <si>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</si>
  <si>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</si>
  <si>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</si>
  <si>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</si>
  <si>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</si>
  <si>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</si>
  <si>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</si>
  <si>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</si>
  <si>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</si>
  <si>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</si>
  <si>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</si>
  <si>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</si>
  <si>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</si>
  <si>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</si>
  <si>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</si>
  <si>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</si>
  <si>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</si>
  <si>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</si>
  <si>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</si>
  <si>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</si>
  <si>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</si>
  <si>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</si>
  <si>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</si>
  <si>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</si>
  <si>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</si>
  <si>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</si>
  <si>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</si>
  <si>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</si>
  <si>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</si>
  <si>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</si>
  <si>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</si>
  <si>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</si>
  <si>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</si>
  <si>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</si>
  <si>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</si>
  <si>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</si>
  <si>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</si>
  <si>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</si>
  <si>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</si>
  <si>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</si>
  <si>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</si>
  <si>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</si>
  <si>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</si>
  <si>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</si>
  <si>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</si>
  <si>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</si>
  <si>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</si>
  <si>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</si>
  <si>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</si>
  <si>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</si>
  <si>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</si>
  <si>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</si>
  <si>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</si>
  <si>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</si>
  <si>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</si>
  <si>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</si>
  <si>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</si>
  <si>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</si>
  <si>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</si>
  <si>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</si>
  <si>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</si>
  <si>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</si>
  <si>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</si>
  <si>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</si>
  <si>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</si>
  <si>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</si>
  <si>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</si>
  <si>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</si>
  <si>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</si>
  <si>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</si>
  <si>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</si>
  <si>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</si>
  <si>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</si>
  <si>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</si>
  <si>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</si>
  <si>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</si>
  <si>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</si>
  <si>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</si>
  <si>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</si>
  <si>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</si>
  <si>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</si>
  <si>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</si>
  <si>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</si>
  <si>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</si>
  <si>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</si>
  <si>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</si>
  <si>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</si>
  <si>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</si>
  <si>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</si>
  <si>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</si>
  <si>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</si>
  <si>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</si>
  <si>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</si>
  <si>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</si>
  <si>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</si>
  <si>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</si>
  <si>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</si>
  <si>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</si>
  <si>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</si>
  <si>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</si>
  <si>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</si>
  <si>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</si>
  <si>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</si>
  <si>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</si>
  <si>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</si>
  <si>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</si>
  <si>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</si>
  <si>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</si>
  <si>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</si>
  <si>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</si>
  <si>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</si>
  <si>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</si>
  <si>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</si>
  <si>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</si>
  <si>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</si>
  <si>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</si>
  <si>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</si>
  <si>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</si>
  <si>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</si>
  <si>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</si>
  <si>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</si>
  <si>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</si>
  <si>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</si>
  <si>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</si>
  <si>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</si>
  <si>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</si>
  <si>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</si>
  <si>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</si>
  <si>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</si>
  <si>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</si>
  <si>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</si>
  <si>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</si>
  <si>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</si>
  <si>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</si>
  <si>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</si>
  <si>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</si>
  <si>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</si>
  <si>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</si>
  <si>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</si>
  <si>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</si>
  <si>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</si>
  <si>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</si>
  <si>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</si>
  <si>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</si>
  <si>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</si>
  <si>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</si>
  <si>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</si>
  <si>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</si>
  <si>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</si>
  <si>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</si>
  <si>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</si>
  <si>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</si>
  <si>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</si>
  <si>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</si>
  <si>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</si>
  <si>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</si>
  <si>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</si>
  <si>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</si>
  <si>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</si>
  <si>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</si>
  <si>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</si>
  <si>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</si>
  <si>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</si>
  <si>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</si>
  <si>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</si>
  <si>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</si>
  <si>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</si>
  <si>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</si>
  <si>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</si>
  <si>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</si>
  <si>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</si>
  <si>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</si>
  <si>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</si>
  <si>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</si>
  <si>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</si>
  <si>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</si>
  <si>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</si>
  <si>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</si>
  <si>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</si>
  <si>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</si>
  <si>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</si>
  <si>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</si>
  <si>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</si>
  <si>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</si>
  <si>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</si>
  <si>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</si>
  <si>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</si>
  <si>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</si>
  <si>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</si>
  <si>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</si>
  <si>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</si>
  <si>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</si>
  <si>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</si>
  <si>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</si>
  <si>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</si>
  <si>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</si>
  <si>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</si>
  <si>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</si>
  <si>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</si>
  <si>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</si>
  <si>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</si>
  <si>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</si>
  <si>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</si>
  <si>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</si>
  <si>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</si>
  <si>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</si>
  <si>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</si>
  <si>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</si>
  <si>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</si>
  <si>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</si>
  <si>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</si>
  <si>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</si>
  <si>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</si>
  <si>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</si>
  <si>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</si>
  <si>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</si>
  <si>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</si>
  <si>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</si>
  <si>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</si>
  <si>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</si>
  <si>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</si>
  <si>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</si>
  <si>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</si>
  <si>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</si>
  <si>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</si>
  <si>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</si>
  <si>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</si>
  <si>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</si>
  <si>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</si>
  <si>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</si>
  <si>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</si>
  <si>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</si>
  <si>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</si>
  <si>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</si>
  <si>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</si>
  <si>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</si>
  <si>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</si>
  <si>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</si>
  <si>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</si>
  <si>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</si>
  <si>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</si>
  <si>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</si>
  <si>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</si>
  <si>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</si>
  <si>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</si>
  <si>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</si>
  <si>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</si>
  <si>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</si>
  <si>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</si>
  <si>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</si>
  <si>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</si>
  <si>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</si>
  <si>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</si>
  <si>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</si>
  <si>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</si>
  <si>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</si>
  <si>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</si>
  <si>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</si>
  <si>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</si>
  <si>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</si>
  <si>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</si>
  <si>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</si>
  <si>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</si>
  <si>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</si>
  <si>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</si>
  <si>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</si>
  <si>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</si>
  <si>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</si>
  <si>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</si>
  <si>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</si>
  <si>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</si>
  <si>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</si>
  <si>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</si>
  <si>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</si>
  <si>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</si>
  <si>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</si>
  <si>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</si>
  <si>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</si>
  <si>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</si>
  <si>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</si>
  <si>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</si>
  <si>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</si>
  <si>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</si>
  <si>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</si>
  <si>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</si>
  <si>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</si>
  <si>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</si>
  <si>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</si>
  <si>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</si>
  <si>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</si>
  <si>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</si>
  <si>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</si>
  <si>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</si>
  <si>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</si>
  <si>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</si>
  <si>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</si>
  <si>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</si>
  <si>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</si>
  <si>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</si>
  <si>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</si>
  <si>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</si>
  <si>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</si>
  <si>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</si>
  <si>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</si>
  <si>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</si>
  <si>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</si>
  <si>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</si>
  <si>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</si>
  <si>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</si>
  <si>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</si>
  <si>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</si>
  <si>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</si>
  <si>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</si>
  <si>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</si>
  <si>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</si>
  <si>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</si>
  <si>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</si>
  <si>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</si>
  <si>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</si>
  <si>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</si>
  <si>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</si>
  <si>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</si>
  <si>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</si>
  <si>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</si>
  <si>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</si>
  <si>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</si>
  <si>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</si>
  <si>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</si>
  <si>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</si>
  <si>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</si>
  <si>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</si>
  <si>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</si>
  <si>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</si>
  <si>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</si>
  <si>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</si>
  <si>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</si>
  <si>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</si>
  <si>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</si>
  <si>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</si>
  <si>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</si>
  <si>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</si>
  <si>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</si>
  <si>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</si>
  <si>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</si>
  <si>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</si>
  <si>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</si>
  <si>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</si>
  <si>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</si>
  <si>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</si>
  <si>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</si>
  <si>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</si>
  <si>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</si>
  <si>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</si>
  <si>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</si>
  <si>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</si>
  <si>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</si>
  <si>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</si>
  <si>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</si>
  <si>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</si>
  <si>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</si>
  <si>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</si>
  <si>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</si>
  <si>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</si>
  <si>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</si>
  <si>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</si>
  <si>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</si>
  <si>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</si>
  <si>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</si>
  <si>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</si>
  <si>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</si>
  <si>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</si>
  <si>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</si>
  <si>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</si>
  <si>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</si>
  <si>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</si>
  <si>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</si>
  <si>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</si>
  <si>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</si>
  <si>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</si>
  <si>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</si>
  <si>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</si>
  <si>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</si>
  <si>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</si>
  <si>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</si>
  <si>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</si>
  <si>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</si>
  <si>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</si>
  <si>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</si>
  <si>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</si>
  <si>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</si>
  <si>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</si>
  <si>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</si>
  <si>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</si>
  <si>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</si>
  <si>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</si>
  <si>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</si>
  <si>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</si>
  <si>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</si>
  <si>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</si>
  <si>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</si>
  <si>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</si>
  <si>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</si>
  <si>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</si>
  <si>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</si>
  <si>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</si>
  <si>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</si>
  <si>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</si>
  <si>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</si>
  <si>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</si>
  <si>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</si>
  <si>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</si>
  <si>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</si>
  <si>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</si>
  <si>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</si>
  <si>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</si>
  <si>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</si>
  <si>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</si>
  <si>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</si>
  <si>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</si>
  <si>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</si>
  <si>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</si>
  <si>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</si>
  <si>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</si>
  <si>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</si>
  <si>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</si>
  <si>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</si>
  <si>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</si>
  <si>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</si>
  <si>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</si>
  <si>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</si>
  <si>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</si>
  <si>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</si>
  <si>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</si>
  <si>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</si>
  <si>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</si>
  <si>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</si>
  <si>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</si>
  <si>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</si>
  <si>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</si>
  <si>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</si>
  <si>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</si>
  <si>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</si>
  <si>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</si>
  <si>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</si>
  <si>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</si>
  <si>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</si>
  <si>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</si>
  <si>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</si>
  <si>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</si>
  <si>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</si>
  <si>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</si>
  <si>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</si>
  <si>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</si>
  <si>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</si>
  <si>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</si>
  <si>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</si>
  <si>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</si>
  <si>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</si>
  <si>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</si>
  <si>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</si>
  <si>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</si>
  <si>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</si>
  <si>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</si>
  <si>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</si>
  <si>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</si>
  <si>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</si>
  <si>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</si>
  <si>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</si>
  <si>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</si>
  <si>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</si>
  <si>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</si>
  <si>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</si>
  <si>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</si>
  <si>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</si>
  <si>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</si>
  <si>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</si>
  <si>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</si>
  <si>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</si>
  <si>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</si>
  <si>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</si>
  <si>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</si>
  <si>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</si>
  <si>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</si>
  <si>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</si>
  <si>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</si>
  <si>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</si>
  <si>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</si>
  <si>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</si>
  <si>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</si>
  <si>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</si>
  <si>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</si>
  <si>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</si>
  <si>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</si>
  <si>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</si>
  <si>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</si>
  <si>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</si>
  <si>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</si>
  <si>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</si>
  <si>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</si>
  <si>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</si>
  <si>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</si>
  <si>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</si>
  <si>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</si>
  <si>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</si>
  <si>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</si>
  <si>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</si>
  <si>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</si>
  <si>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</si>
  <si>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</si>
  <si>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</si>
  <si>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</si>
  <si>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</si>
  <si>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</si>
  <si>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</si>
  <si>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</si>
  <si>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</si>
  <si>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</si>
  <si>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</si>
  <si>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</si>
  <si>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</si>
  <si>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</si>
  <si>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</si>
  <si>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</si>
  <si>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</si>
  <si>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</si>
  <si>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</si>
  <si>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</si>
  <si>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</si>
  <si>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</si>
  <si>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</si>
  <si>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</si>
  <si>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</si>
  <si>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</si>
  <si>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</si>
  <si>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</si>
  <si>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</si>
  <si>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</si>
  <si>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</si>
  <si>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</si>
  <si>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</si>
  <si>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</si>
  <si>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</si>
  <si>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</si>
  <si>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</si>
  <si>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</si>
  <si>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</si>
  <si>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</si>
  <si>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</si>
  <si>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</si>
  <si>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</si>
  <si>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</si>
  <si>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</si>
  <si>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</si>
  <si>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</si>
  <si>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</si>
  <si>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</si>
  <si>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</si>
  <si>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</si>
  <si>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</si>
  <si>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</si>
  <si>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</si>
  <si>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</si>
  <si>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</si>
  <si>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</si>
  <si>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</si>
  <si>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</si>
  <si>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</si>
  <si>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</si>
  <si>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</si>
  <si>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</si>
  <si>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</si>
  <si>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</si>
  <si>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</si>
  <si>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</si>
  <si>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</si>
  <si>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</si>
  <si>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</si>
  <si>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</si>
  <si>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</si>
  <si>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</si>
  <si>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</si>
  <si>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</si>
  <si>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</si>
  <si>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</si>
  <si>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</si>
  <si>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</si>
  <si>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</si>
  <si>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</si>
  <si>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</si>
  <si>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</si>
  <si>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</si>
  <si>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</si>
  <si>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</si>
  <si>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</si>
  <si>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</si>
  <si>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</si>
  <si>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</si>
  <si>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</si>
  <si>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</si>
  <si>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</si>
  <si>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</si>
  <si>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</si>
  <si>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</si>
  <si>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</si>
  <si>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</si>
  <si>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</si>
  <si>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</si>
  <si>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</si>
  <si>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</si>
  <si>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</si>
  <si>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</si>
  <si>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</si>
  <si>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</si>
  <si>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</si>
  <si>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</si>
  <si>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</si>
  <si>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</si>
  <si>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</si>
  <si>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</si>
  <si>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</si>
  <si>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</si>
  <si>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</si>
  <si>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</si>
  <si>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</si>
  <si>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</si>
  <si>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</si>
  <si>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</si>
  <si>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</si>
  <si>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</si>
  <si>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</si>
  <si>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</si>
  <si>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Order Date</t>
  </si>
  <si>
    <t>Order ID</t>
  </si>
  <si>
    <t>Product ID</t>
  </si>
  <si>
    <t>Quantity</t>
  </si>
  <si>
    <t>Customer</t>
  </si>
  <si>
    <t>coffee type</t>
  </si>
  <si>
    <t>Roast Type</t>
  </si>
  <si>
    <t>Size</t>
  </si>
  <si>
    <t>Unit Price</t>
  </si>
  <si>
    <t>Sales</t>
  </si>
  <si>
    <t>QEV-37451-860</t>
  </si>
  <si>
    <t>R-M-1</t>
  </si>
  <si>
    <t>E-M-0.5</t>
  </si>
  <si>
    <t>FAA-43335-268</t>
  </si>
  <si>
    <t>A-L-1</t>
  </si>
  <si>
    <t>KAC-83089-793</t>
  </si>
  <si>
    <t>E-M-1</t>
  </si>
  <si>
    <t>R-L-2.5</t>
  </si>
  <si>
    <t>CVP-18956-553</t>
  </si>
  <si>
    <t>L-D-1</t>
  </si>
  <si>
    <t>IPP-31994-879</t>
  </si>
  <si>
    <t>E-D-0.5</t>
  </si>
  <si>
    <t>SNZ-65340-705</t>
  </si>
  <si>
    <t>L-L-0.2</t>
  </si>
  <si>
    <t>EZT-46571-659</t>
  </si>
  <si>
    <t>R-M-0.5</t>
  </si>
  <si>
    <t>NWQ-70061-912</t>
  </si>
  <si>
    <t>BKK-47233-845</t>
  </si>
  <si>
    <t>A-D-1</t>
  </si>
  <si>
    <t>VQR-01002-970</t>
  </si>
  <si>
    <t>E-L-2.5</t>
  </si>
  <si>
    <t>SZW-48378-399</t>
  </si>
  <si>
    <t>ITA-87418-783</t>
  </si>
  <si>
    <t>R-D-2.5</t>
  </si>
  <si>
    <t>GNZ-46006-527</t>
  </si>
  <si>
    <t>L-D-0.2</t>
  </si>
  <si>
    <t>FYQ-78248-319</t>
  </si>
  <si>
    <t>R-M-2.5</t>
  </si>
  <si>
    <t>VAU-44387-624</t>
  </si>
  <si>
    <t>A-M-0.2</t>
  </si>
  <si>
    <t>RDW-33155-159</t>
  </si>
  <si>
    <t>TDZ-59011-211</t>
  </si>
  <si>
    <t>IDU-25793-399</t>
  </si>
  <si>
    <t>E-D-0.2</t>
  </si>
  <si>
    <t>NUO-20013-488</t>
  </si>
  <si>
    <t>A-D-0.2</t>
  </si>
  <si>
    <t>UQU-65630-479</t>
  </si>
  <si>
    <t>FEO-11834-332</t>
  </si>
  <si>
    <t>TKY-71558-096</t>
  </si>
  <si>
    <t>A-M-1</t>
  </si>
  <si>
    <t>OXY-65322-253</t>
  </si>
  <si>
    <t>E-M-0.2</t>
  </si>
  <si>
    <t>EVP-43500-491</t>
  </si>
  <si>
    <t>A-M-0.5</t>
  </si>
  <si>
    <t>WAG-26945-689</t>
  </si>
  <si>
    <t>CHE-78995-767</t>
  </si>
  <si>
    <t>A-D-0.5</t>
  </si>
  <si>
    <t>RYZ-14633-602</t>
  </si>
  <si>
    <t>WOQ-36015-429</t>
  </si>
  <si>
    <t>L-M-0.2</t>
  </si>
  <si>
    <t>L-M-0.5</t>
  </si>
  <si>
    <t>SCT-60553-454</t>
  </si>
  <si>
    <t>GFK-52063-244</t>
  </si>
  <si>
    <t>L-L-0.5</t>
  </si>
  <si>
    <t>AMM-79521-378</t>
  </si>
  <si>
    <t>QUQ-90580-772</t>
  </si>
  <si>
    <t>LGD-24408-274</t>
  </si>
  <si>
    <t>HCT-95608-959</t>
  </si>
  <si>
    <t>OFX-99147-470</t>
  </si>
  <si>
    <t>LUO-37559-016</t>
  </si>
  <si>
    <t>L-M-1</t>
  </si>
  <si>
    <t>XWC-20610-167</t>
  </si>
  <si>
    <t>GPU-79113-136</t>
  </si>
  <si>
    <t>R-D-0.2</t>
  </si>
  <si>
    <t>ULR-52653-960</t>
  </si>
  <si>
    <t>L-L-2.5</t>
  </si>
  <si>
    <t>HPI-42308-142</t>
  </si>
  <si>
    <t>XHI-30227-581</t>
  </si>
  <si>
    <t>L-D-2.5</t>
  </si>
  <si>
    <t>DJH-05202-380</t>
  </si>
  <si>
    <t>E-M-2.5</t>
  </si>
  <si>
    <t>VMW-26889-781</t>
  </si>
  <si>
    <t>A-L-0.2</t>
  </si>
  <si>
    <t>DBU-81099-586</t>
  </si>
  <si>
    <t>A-D-2.5</t>
  </si>
  <si>
    <t>PQA-54820-810</t>
  </si>
  <si>
    <t>XKB-41924-202</t>
  </si>
  <si>
    <t>L-D-0.5</t>
  </si>
  <si>
    <t>DWZ-69106-473</t>
  </si>
  <si>
    <t>YHV-68700-050</t>
  </si>
  <si>
    <t>KRB-88066-642</t>
  </si>
  <si>
    <t>LQU-08404-173</t>
  </si>
  <si>
    <t>L-L-1</t>
  </si>
  <si>
    <t>CWK-60159-881</t>
  </si>
  <si>
    <t>EEG-74197-843</t>
  </si>
  <si>
    <t>E-L-1</t>
  </si>
  <si>
    <t>UCZ-59708-525</t>
  </si>
  <si>
    <t>HUB-47311-849</t>
  </si>
  <si>
    <t>WYM-17686-694</t>
  </si>
  <si>
    <t>ZYQ-15797-695</t>
  </si>
  <si>
    <t>R-D-0.5</t>
  </si>
  <si>
    <t>EEJ-16185-108</t>
  </si>
  <si>
    <t>RWR-77888-800</t>
  </si>
  <si>
    <t>LHN-75209-742</t>
  </si>
  <si>
    <t>TIR-71396-998</t>
  </si>
  <si>
    <t>RXF-37618-213</t>
  </si>
  <si>
    <t>R-L-0.5</t>
  </si>
  <si>
    <t>ANM-16388-634</t>
  </si>
  <si>
    <t>WYL-29300-070</t>
  </si>
  <si>
    <t>R-M-0.2</t>
  </si>
  <si>
    <t>JHW-74554-805</t>
  </si>
  <si>
    <t>KYS-27063-603</t>
  </si>
  <si>
    <t>GAZ-58626-277</t>
  </si>
  <si>
    <t>RPJ-37787-335</t>
  </si>
  <si>
    <t>A-M-2.5</t>
  </si>
  <si>
    <t>LEF-83057-763</t>
  </si>
  <si>
    <t>RPW-36123-215</t>
  </si>
  <si>
    <t>E-L-0.5</t>
  </si>
  <si>
    <t>WLL-59044-117</t>
  </si>
  <si>
    <t>R-D-1</t>
  </si>
  <si>
    <t>AWT-22827-563</t>
  </si>
  <si>
    <t>R-L-0.2</t>
  </si>
  <si>
    <t>QLM-07145-668</t>
  </si>
  <si>
    <t>HVQ-64398-930</t>
  </si>
  <si>
    <t>WRT-40778-247</t>
  </si>
  <si>
    <t>R-L-1</t>
  </si>
  <si>
    <t>SUB-13006-125</t>
  </si>
  <si>
    <t>A-L-0.5</t>
  </si>
  <si>
    <t>CQM-49696-263</t>
  </si>
  <si>
    <t>KXN-85094-246</t>
  </si>
  <si>
    <t>L-M-2.5</t>
  </si>
  <si>
    <t>XOQ-12405-419</t>
  </si>
  <si>
    <t>HYF-10254-369</t>
  </si>
  <si>
    <t>XXJ-47000-307</t>
  </si>
  <si>
    <t>A-L-2.5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</si>
  <si>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</si>
  <si>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</si>
  <si>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</si>
  <si>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</si>
  <si>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</si>
  <si>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</si>
  <si>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</si>
  <si>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</si>
  <si>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</si>
  <si>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</si>
  <si>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</si>
  <si>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</si>
  <si>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</si>
  <si>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</si>
  <si>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</si>
  <si>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</si>
  <si>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</si>
  <si>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</si>
  <si>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</si>
  <si>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</si>
  <si>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E-D-1</t>
  </si>
  <si>
    <t>XSZ-84273-421</t>
  </si>
  <si>
    <t>NUN-48214-216</t>
  </si>
  <si>
    <t>AKV-93064-769</t>
  </si>
  <si>
    <t>BRB-40903-533</t>
  </si>
  <si>
    <t>E-L-0.2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</si>
  <si>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</si>
  <si>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</si>
  <si>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</si>
  <si>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</si>
  <si>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</si>
  <si>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</si>
  <si>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</si>
  <si>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</si>
  <si>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</si>
  <si>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</si>
  <si>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</si>
  <si>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</si>
  <si>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</si>
  <si>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</si>
  <si>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</si>
  <si>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</si>
  <si>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Coffee Type</t>
  </si>
  <si>
    <t>Price per 100g</t>
  </si>
  <si>
    <t>Profit</t>
  </si>
  <si>
    <t>Arabica</t>
  </si>
  <si>
    <t>Light Roast</t>
  </si>
  <si>
    <t>Medium Roast</t>
  </si>
  <si>
    <t>Dark Roast</t>
  </si>
  <si>
    <t>Robusta</t>
  </si>
  <si>
    <t>Liberica</t>
  </si>
  <si>
    <t>Excelsa</t>
  </si>
  <si>
    <t>E-D-2.5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</si>
  <si>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</si>
  <si>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</si>
  <si>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</si>
  <si>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</si>
  <si>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</si>
  <si>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</si>
  <si>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</si>
  <si>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</si>
  <si>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</si>
  <si>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2022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</si>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</sst>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2" borderId="0" xfId="0" applyFont="1" applyFill="1"/>
    <xf numFmtId="0" fontId="0" fillId="2" borderId="0" xfId="0" applyFill="1"/>
    <xf numFmtId="165" fontId="0" fillId="0" borderId="0" xfId="0" applyNumberFormat="1"/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\-mmm\-yy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</border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[Book 3.xlsx]TotalSales!TotalSales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Over Time</a:t>
            </a:r>
            <a:endParaRPr lang="en-US"/>
          </a:p>
        </c:rich>
      </c:tx>
      <c:layout>
        <c:manualLayout>
          <c:xMode val="edge"/>
          <c:yMode val="edge"/>
          <c:x val="0.41824247586598529"/>
          <c:y val="7.1994240460763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>
            <a:outerShdw blurRad="50800" dist="203200" dir="5400000" sx="1000" sy="1000" algn="ctr" rotWithShape="0">
              <a:schemeClr val="bg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>
            <a:outerShdw blurRad="50800" dist="203200" dir="5400000" sx="1000" sy="1000" algn="ctr" rotWithShape="0">
              <a:schemeClr val="bg1"/>
            </a:outerShdw>
          </a:effectLst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>
            <a:outerShdw blurRad="50800" dist="203200" dir="5400000" sx="1000" sy="1000" algn="ctr" rotWithShape="0">
              <a:schemeClr val="bg1"/>
            </a:outerShdw>
          </a:effectLst>
        </c:spPr>
        <c:marker>
          <c:symbol val="none"/>
        </c:marker>
      </c:pivotFmt>
      <c:pivotFmt>
        <c:idx val="11"/>
        <c:spPr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863617665338681"/>
          <c:y val="0.11897543495685793"/>
          <c:w val="0.78056434917526285"/>
          <c:h val="0.73523949476375339"/>
        </c:manualLayout>
      </c:layout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TotalSales!$A$5:$B$12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TotalSales!$C$5:$C$12</c:f>
              <c:numCache>
                <c:formatCode>0</c:formatCode>
                <c:ptCount val="8"/>
                <c:pt idx="1">
                  <c:v>11.94</c:v>
                </c:pt>
                <c:pt idx="7">
                  <c:v>56.759999999999991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5-4C44-AF4E-28A0045F54DD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TotalSales!$A$5:$B$12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TotalSales!$D$5:$D$12</c:f>
              <c:numCache>
                <c:formatCode>0</c:formatCode>
                <c:ptCount val="8"/>
                <c:pt idx="0">
                  <c:v>21.87</c:v>
                </c:pt>
                <c:pt idx="5">
                  <c:v>13.365</c:v>
                </c:pt>
                <c:pt idx="6">
                  <c:v>66.69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15-4C44-AF4E-28A0045F54DD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203200" dir="5400000" sx="1000" sy="1000" algn="ctr" rotWithShape="0">
                <a:schemeClr val="bg1"/>
              </a:outerShdw>
            </a:effectLst>
          </c:spPr>
          <c:marker>
            <c:symbol val="none"/>
          </c:marker>
          <c:cat>
            <c:multiLvlStrRef>
              <c:f>TotalSales!$A$5:$B$12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TotalSales!$E$5:$E$12</c:f>
              <c:numCache>
                <c:formatCode>0</c:formatCode>
                <c:ptCount val="8"/>
                <c:pt idx="0">
                  <c:v>178.70999999999998</c:v>
                </c:pt>
                <c:pt idx="2">
                  <c:v>89.35499999999999</c:v>
                </c:pt>
                <c:pt idx="3">
                  <c:v>49.695</c:v>
                </c:pt>
                <c:pt idx="4">
                  <c:v>4.7549999999999999</c:v>
                </c:pt>
                <c:pt idx="5">
                  <c:v>145.82</c:v>
                </c:pt>
                <c:pt idx="7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15-4C44-AF4E-28A0045F54DD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TotalSales!$A$5:$B$12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TotalSales!$F$5:$F$12</c:f>
              <c:numCache>
                <c:formatCode>0</c:formatCode>
                <c:ptCount val="8"/>
                <c:pt idx="2">
                  <c:v>130.13999999999999</c:v>
                </c:pt>
                <c:pt idx="3">
                  <c:v>7.169999999999999</c:v>
                </c:pt>
                <c:pt idx="5">
                  <c:v>114.42499999999998</c:v>
                </c:pt>
                <c:pt idx="6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15-4C44-AF4E-28A0045F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367360"/>
        <c:axId val="342092032"/>
      </c:lineChart>
      <c:catAx>
        <c:axId val="5893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92032"/>
        <c:crosses val="autoZero"/>
        <c:auto val="1"/>
        <c:lblAlgn val="ctr"/>
        <c:lblOffset val="100"/>
        <c:noMultiLvlLbl val="0"/>
      </c:catAx>
      <c:valAx>
        <c:axId val="3420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367360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solidFill>
          <a:schemeClr val="bg1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317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8</xdr:row>
      <xdr:rowOff>30480</xdr:rowOff>
    </xdr:from>
    <xdr:to>
      <xdr:col>13</xdr:col>
      <xdr:colOff>336890</xdr:colOff>
      <xdr:row>29</xdr:row>
      <xdr:rowOff>93265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97DAAE-732D-4BCF-8F4C-1507F4064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152400</xdr:colOff>
      <xdr:row>0</xdr:row>
      <xdr:rowOff>106680</xdr:rowOff>
    </xdr:from>
    <xdr:to>
      <xdr:col>11</xdr:col>
      <xdr:colOff>22860</xdr:colOff>
      <xdr:row>8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Order Date 1">
              <a:extLst>
                <a:ext uri="{FF2B5EF4-FFF2-40B4-BE49-F238E27FC236}">
                  <a16:creationId xmlns:a16="http://schemas.microsoft.com/office/drawing/2014/main" id="{49CD65E5-8C25-488A-AFEA-45D9E31371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680"/>
              <a:ext cx="724662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487999537036" createdVersion="8" refreshedVersion="8" minRefreshableVersion="3" recordCount="129" xr:uid="{3DACC3B6-A29E-41A3-90D1-3E39999249D1}">
  <cacheSource type="worksheet">
    <worksheetSource name="Orders"/>
  </cacheSource>
  <cacheFields count="14">
    <cacheField name="Order ID" numFmtId="0">
      <sharedItems/>
    </cacheField>
    <cacheField name="Order Date" numFmtId="164">
      <sharedItems containsSemiMixedTypes="0" containsNonDate="0" containsDate="1" containsString="0" minDate="2019-01-02T00:00:00" maxDate="2022-08-20T00:00:00" count="115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</sharedItems>
      <fieldGroup par="13" base="1">
        <rangePr groupBy="months" startDate="2019-01-02T00:00:00" endDate="2022-08-20T00:00:00"/>
        <groupItems count="14">
          <s v="&lt;1/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0/2022"/>
        </groupItems>
      </fieldGroup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" numFmtId="0">
      <sharedItems/>
    </cacheField>
    <cacheField name="Email" numFmtId="0">
      <sharedItems/>
    </cacheField>
    <cacheField name="Country" numFmtId="0">
      <sharedItems/>
    </cacheField>
    <cacheField name="coffee type" numFmtId="0">
      <sharedItems count="4">
        <s v="Robusta"/>
        <s v="Excelsa"/>
        <s v="Arabica"/>
        <s v="Liberica"/>
      </sharedItems>
    </cacheField>
    <cacheField name="Roast Type" numFmtId="0">
      <sharedItems/>
    </cacheField>
    <cacheField name="Size" numFmtId="0">
      <sharedItems containsSemiMixedTypes="0" containsString="0" containsNumber="1" minValue="0.2" maxValue="2.5"/>
    </cacheField>
    <cacheField name="Unit Price" numFmtId="0">
      <sharedItems containsSemiMixedTypes="0" containsString="0" containsNumber="1" minValue="2.6849999999999996" maxValue="36.454999999999998"/>
    </cacheField>
    <cacheField name="Sales" numFmtId="0">
      <sharedItems containsSemiMixedTypes="0" containsString="0" containsNumber="1" minValue="2.9849999999999999" maxValue="178.70999999999998"/>
    </cacheField>
    <cacheField name="Years" numFmtId="0" databaseField="0">
      <fieldGroup base="1">
        <rangePr groupBy="years" startDate="2019-01-02T00:00:00" endDate="2022-08-20T00:00:00"/>
        <groupItems count="6">
          <s v="&lt;1/2/2019"/>
          <s v="2019"/>
          <s v="2020"/>
          <s v="2021"/>
          <s v="2022"/>
          <s v="&gt;8/20/2022"/>
        </groupItems>
      </fieldGroup>
    </cacheField>
  </cacheFields>
  <extLst>
    <ext xmlns:x14="http://schemas.microsoft.com/office/spreadsheetml/2009/9/main" uri="{725AE2AE-9491-48be-B2B4-4EB974FC3084}">
      <x14:pivotCacheDefinition pivotCacheId="9756257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QEV-37451-860"/>
    <x v="0"/>
    <s v="17670-51384-MA"/>
    <s v="R-M-1"/>
    <n v="2"/>
    <s v="Aloisia Allner"/>
    <s v="aallner0@lulu.com"/>
    <s v="United States"/>
    <x v="0"/>
    <s v="Medium Roast"/>
    <n v="1"/>
    <n v="9.9499999999999993"/>
    <n v="19.899999999999999"/>
  </r>
  <r>
    <s v="QEV-37451-860"/>
    <x v="0"/>
    <s v="17670-51384-MA"/>
    <s v="E-M-0.5"/>
    <n v="5"/>
    <s v="Aloisia Allner"/>
    <s v="aallner0@lulu.com"/>
    <s v="United States"/>
    <x v="1"/>
    <s v="Medium Roast"/>
    <n v="0.5"/>
    <n v="8.25"/>
    <n v="41.25"/>
  </r>
  <r>
    <s v="FAA-43335-268"/>
    <x v="1"/>
    <s v="21125-22134-PX"/>
    <s v="A-L-1"/>
    <n v="1"/>
    <s v="Jami Redholes"/>
    <s v="jredholes2@tmall.com"/>
    <s v="United States"/>
    <x v="2"/>
    <s v="Light Roast"/>
    <n v="1"/>
    <n v="12.95"/>
    <n v="12.95"/>
  </r>
  <r>
    <s v="KAC-83089-793"/>
    <x v="2"/>
    <s v="23806-46781-OU"/>
    <s v="E-M-1"/>
    <n v="2"/>
    <s v="Christoffer O' Shea"/>
    <s v=""/>
    <s v="Ireland"/>
    <x v="1"/>
    <s v="Medium Roast"/>
    <n v="1"/>
    <n v="13.75"/>
    <n v="27.5"/>
  </r>
  <r>
    <s v="KAC-83089-793"/>
    <x v="2"/>
    <s v="23806-46781-OU"/>
    <s v="R-L-2.5"/>
    <n v="2"/>
    <s v="Christoffer O' Shea"/>
    <s v=""/>
    <s v="Ireland"/>
    <x v="0"/>
    <s v="Light Roast"/>
    <n v="2.5"/>
    <n v="27.484999999999996"/>
    <n v="54.969999999999992"/>
  </r>
  <r>
    <s v="CVP-18956-553"/>
    <x v="3"/>
    <s v="86561-91660-RB"/>
    <s v="L-D-1"/>
    <n v="3"/>
    <s v="Beryle Cottier"/>
    <s v=""/>
    <s v="United States"/>
    <x v="3"/>
    <s v="Dark Roast"/>
    <n v="1"/>
    <n v="12.95"/>
    <n v="38.849999999999994"/>
  </r>
  <r>
    <s v="IPP-31994-879"/>
    <x v="4"/>
    <s v="65223-29612-CB"/>
    <s v="E-D-0.5"/>
    <n v="3"/>
    <s v="Shaylynn Lobe"/>
    <s v="slobe6@nifty.com"/>
    <s v="United States"/>
    <x v="1"/>
    <s v="Dark Roast"/>
    <n v="0.5"/>
    <n v="7.29"/>
    <n v="21.87"/>
  </r>
  <r>
    <s v="SNZ-65340-705"/>
    <x v="5"/>
    <s v="21134-81676-FR"/>
    <s v="L-L-0.2"/>
    <n v="1"/>
    <s v="Melvin Wharfe"/>
    <s v=""/>
    <s v="Ireland"/>
    <x v="3"/>
    <s v="Light Roast"/>
    <n v="0.2"/>
    <n v="4.7549999999999999"/>
    <n v="4.7549999999999999"/>
  </r>
  <r>
    <s v="EZT-46571-659"/>
    <x v="6"/>
    <s v="03396-68805-ZC"/>
    <s v="R-M-0.5"/>
    <n v="3"/>
    <s v="Guthrey Petracci"/>
    <s v="gpetracci8@livejournal.com"/>
    <s v="United States"/>
    <x v="0"/>
    <s v="Medium Roast"/>
    <n v="0.5"/>
    <n v="5.97"/>
    <n v="17.91"/>
  </r>
  <r>
    <s v="NWQ-70061-912"/>
    <x v="0"/>
    <s v="61021-27840-ZN"/>
    <s v="R-M-0.5"/>
    <n v="1"/>
    <s v="Rodger Raven"/>
    <s v="rraven9@ed.gov"/>
    <s v="United States"/>
    <x v="0"/>
    <s v="Medium Roast"/>
    <n v="0.5"/>
    <n v="5.97"/>
    <n v="5.97"/>
  </r>
  <r>
    <s v="BKK-47233-845"/>
    <x v="7"/>
    <s v="76239-90137-UQ"/>
    <s v="A-D-1"/>
    <n v="4"/>
    <s v="Ferrell Ferber"/>
    <s v="fferbera@businesswire.com"/>
    <s v="United States"/>
    <x v="2"/>
    <s v="Dark Roast"/>
    <n v="1"/>
    <n v="9.9499999999999993"/>
    <n v="39.799999999999997"/>
  </r>
  <r>
    <s v="VQR-01002-970"/>
    <x v="8"/>
    <s v="49315-21985-BB"/>
    <s v="E-L-2.5"/>
    <n v="5"/>
    <s v="Duky Phizackerly"/>
    <s v="dphizackerlyb@utexas.edu"/>
    <s v="United States"/>
    <x v="1"/>
    <s v="Light Roast"/>
    <n v="2.5"/>
    <n v="34.154999999999994"/>
    <n v="170.77499999999998"/>
  </r>
  <r>
    <s v="SZW-48378-399"/>
    <x v="9"/>
    <s v="34136-36674-OM"/>
    <s v="R-M-1"/>
    <n v="5"/>
    <s v="Rosaleen Scholar"/>
    <s v="rscholarc@nyu.edu"/>
    <s v="United States"/>
    <x v="0"/>
    <s v="Medium Roast"/>
    <n v="1"/>
    <n v="9.9499999999999993"/>
    <n v="49.75"/>
  </r>
  <r>
    <s v="ITA-87418-783"/>
    <x v="10"/>
    <s v="39396-12890-PE"/>
    <s v="R-D-2.5"/>
    <n v="2"/>
    <s v="Terence Vanyutin"/>
    <s v="tvanyutind@wix.com"/>
    <s v="United States"/>
    <x v="0"/>
    <s v="Dark Roast"/>
    <n v="2.5"/>
    <n v="20.584999999999997"/>
    <n v="41.169999999999995"/>
  </r>
  <r>
    <s v="GNZ-46006-527"/>
    <x v="11"/>
    <s v="95875-73336-RG"/>
    <s v="L-D-0.2"/>
    <n v="3"/>
    <s v="Patrice Trobe"/>
    <s v="ptrobee@wunderground.com"/>
    <s v="United States"/>
    <x v="3"/>
    <s v="Dark Roast"/>
    <n v="0.2"/>
    <n v="3.8849999999999998"/>
    <n v="11.654999999999999"/>
  </r>
  <r>
    <s v="FYQ-78248-319"/>
    <x v="12"/>
    <s v="25473-43727-BY"/>
    <s v="R-M-2.5"/>
    <n v="5"/>
    <s v="Llywellyn Oscroft"/>
    <s v="loscroftf@ebay.co.uk"/>
    <s v="United States"/>
    <x v="0"/>
    <s v="Medium Roast"/>
    <n v="2.5"/>
    <n v="22.884999999999998"/>
    <n v="114.42499999999998"/>
  </r>
  <r>
    <s v="VAU-44387-624"/>
    <x v="13"/>
    <s v="99643-51048-IQ"/>
    <s v="A-M-0.2"/>
    <n v="6"/>
    <s v="Minni Alabaster"/>
    <s v="malabasterg@hexun.com"/>
    <s v="United States"/>
    <x v="2"/>
    <s v="Medium Roast"/>
    <n v="0.2"/>
    <n v="3.375"/>
    <n v="20.25"/>
  </r>
  <r>
    <s v="RDW-33155-159"/>
    <x v="14"/>
    <s v="62173-15287-CU"/>
    <s v="A-L-1"/>
    <n v="6"/>
    <s v="Rhianon Broxup"/>
    <s v="rbroxuph@jimdo.com"/>
    <s v="United States"/>
    <x v="2"/>
    <s v="Light Roast"/>
    <n v="1"/>
    <n v="12.95"/>
    <n v="77.699999999999989"/>
  </r>
  <r>
    <s v="TDZ-59011-211"/>
    <x v="15"/>
    <s v="57611-05522-ST"/>
    <s v="R-D-2.5"/>
    <n v="4"/>
    <s v="Pall Redford"/>
    <s v="predfordi@ow.ly"/>
    <s v="Ireland"/>
    <x v="0"/>
    <s v="Dark Roast"/>
    <n v="2.5"/>
    <n v="20.584999999999997"/>
    <n v="82.339999999999989"/>
  </r>
  <r>
    <s v="IDU-25793-399"/>
    <x v="16"/>
    <s v="76664-37050-DT"/>
    <s v="A-M-0.2"/>
    <n v="5"/>
    <s v="Aurea Corradino"/>
    <s v="acorradinoj@harvard.edu"/>
    <s v="United States"/>
    <x v="2"/>
    <s v="Medium Roast"/>
    <n v="0.2"/>
    <n v="3.375"/>
    <n v="16.875"/>
  </r>
  <r>
    <s v="IDU-25793-399"/>
    <x v="16"/>
    <s v="76664-37050-DT"/>
    <s v="E-D-0.2"/>
    <n v="4"/>
    <s v="Aurea Corradino"/>
    <s v="acorradinoj@harvard.edu"/>
    <s v="United States"/>
    <x v="1"/>
    <s v="Dark Roast"/>
    <n v="0.2"/>
    <n v="3.645"/>
    <n v="14.58"/>
  </r>
  <r>
    <s v="NUO-20013-488"/>
    <x v="16"/>
    <s v="03090-88267-BQ"/>
    <s v="A-D-0.2"/>
    <n v="6"/>
    <s v="Avrit Davidowsky"/>
    <s v="adavidowskyl@netvibes.com"/>
    <s v="United States"/>
    <x v="2"/>
    <s v="Dark Roast"/>
    <n v="0.2"/>
    <n v="2.9849999999999999"/>
    <n v="17.91"/>
  </r>
  <r>
    <s v="UQU-65630-479"/>
    <x v="17"/>
    <s v="37651-47492-NC"/>
    <s v="R-M-2.5"/>
    <n v="4"/>
    <s v="Annabel Antuk"/>
    <s v="aantukm@kickstarter.com"/>
    <s v="United States"/>
    <x v="0"/>
    <s v="Medium Roast"/>
    <n v="2.5"/>
    <n v="22.884999999999998"/>
    <n v="91.539999999999992"/>
  </r>
  <r>
    <s v="FEO-11834-332"/>
    <x v="18"/>
    <s v="95399-57205-HI"/>
    <s v="A-D-0.2"/>
    <n v="4"/>
    <s v="Iorgo Kleinert"/>
    <s v="ikleinertn@timesonline.co.uk"/>
    <s v="United States"/>
    <x v="2"/>
    <s v="Dark Roast"/>
    <n v="0.2"/>
    <n v="2.9849999999999999"/>
    <n v="11.94"/>
  </r>
  <r>
    <s v="TKY-71558-096"/>
    <x v="19"/>
    <s v="24010-66714-HW"/>
    <s v="A-M-1"/>
    <n v="1"/>
    <s v="Chrisy Blofeld"/>
    <s v="cblofeldo@amazon.co.uk"/>
    <s v="United States"/>
    <x v="2"/>
    <s v="Medium Roast"/>
    <n v="1"/>
    <n v="11.25"/>
    <n v="11.25"/>
  </r>
  <r>
    <s v="OXY-65322-253"/>
    <x v="20"/>
    <s v="07591-92789-UA"/>
    <s v="E-M-0.2"/>
    <n v="3"/>
    <s v="Culley Farris"/>
    <s v=""/>
    <s v="United States"/>
    <x v="1"/>
    <s v="Medium Roast"/>
    <n v="0.2"/>
    <n v="4.125"/>
    <n v="12.375"/>
  </r>
  <r>
    <s v="EVP-43500-491"/>
    <x v="21"/>
    <s v="49231-44455-IC"/>
    <s v="A-M-0.5"/>
    <n v="4"/>
    <s v="Selene Shales"/>
    <s v="sshalesq@umich.edu"/>
    <s v="United States"/>
    <x v="2"/>
    <s v="Medium Roast"/>
    <n v="0.5"/>
    <n v="6.75"/>
    <n v="27"/>
  </r>
  <r>
    <s v="WAG-26945-689"/>
    <x v="22"/>
    <s v="50124-88608-EO"/>
    <s v="A-M-0.2"/>
    <n v="5"/>
    <s v="Vivie Danneil"/>
    <s v="vdanneilr@mtv.com"/>
    <s v="Ireland"/>
    <x v="2"/>
    <s v="Medium Roast"/>
    <n v="0.2"/>
    <n v="3.375"/>
    <n v="16.875"/>
  </r>
  <r>
    <s v="CHE-78995-767"/>
    <x v="23"/>
    <s v="00888-74814-UZ"/>
    <s v="A-D-0.5"/>
    <n v="3"/>
    <s v="Theresita Newbury"/>
    <s v="tnewburys@usda.gov"/>
    <s v="Ireland"/>
    <x v="2"/>
    <s v="Dark Roast"/>
    <n v="0.5"/>
    <n v="5.97"/>
    <n v="17.91"/>
  </r>
  <r>
    <s v="RYZ-14633-602"/>
    <x v="21"/>
    <s v="14158-30713-OB"/>
    <s v="A-D-1"/>
    <n v="4"/>
    <s v="Mozelle Calcutt"/>
    <s v="mcalcuttt@baidu.com"/>
    <s v="Ireland"/>
    <x v="2"/>
    <s v="Dark Roast"/>
    <n v="1"/>
    <n v="9.9499999999999993"/>
    <n v="39.799999999999997"/>
  </r>
  <r>
    <s v="WOQ-36015-429"/>
    <x v="24"/>
    <s v="51427-89175-QJ"/>
    <s v="L-M-0.2"/>
    <n v="5"/>
    <s v="Adrian Swaine"/>
    <s v=""/>
    <s v="United States"/>
    <x v="3"/>
    <s v="Medium Roast"/>
    <n v="0.2"/>
    <n v="4.3650000000000002"/>
    <n v="21.825000000000003"/>
  </r>
  <r>
    <s v="WOQ-36015-429"/>
    <x v="24"/>
    <s v="51427-89175-QJ"/>
    <s v="A-D-0.5"/>
    <n v="6"/>
    <s v="Adrian Swaine"/>
    <s v=""/>
    <s v="United States"/>
    <x v="2"/>
    <s v="Dark Roast"/>
    <n v="0.5"/>
    <n v="5.97"/>
    <n v="35.82"/>
  </r>
  <r>
    <s v="WOQ-36015-429"/>
    <x v="24"/>
    <s v="51427-89175-QJ"/>
    <s v="L-M-0.5"/>
    <n v="6"/>
    <s v="Adrian Swaine"/>
    <s v=""/>
    <s v="United States"/>
    <x v="3"/>
    <s v="Medium Roast"/>
    <n v="0.5"/>
    <n v="8.73"/>
    <n v="52.38"/>
  </r>
  <r>
    <s v="SCT-60553-454"/>
    <x v="25"/>
    <s v="39123-12846-YJ"/>
    <s v="L-L-0.2"/>
    <n v="5"/>
    <s v="Gallard Gatheral"/>
    <s v="ggatheralx@123-reg.co.uk"/>
    <s v="United States"/>
    <x v="3"/>
    <s v="Light Roast"/>
    <n v="0.2"/>
    <n v="4.7549999999999999"/>
    <n v="23.774999999999999"/>
  </r>
  <r>
    <s v="GFK-52063-244"/>
    <x v="26"/>
    <s v="44981-99666-XB"/>
    <s v="L-L-0.5"/>
    <n v="6"/>
    <s v="Una Welberry"/>
    <s v="uwelberryy@ebay.co.uk"/>
    <s v="United Kingdom"/>
    <x v="3"/>
    <s v="Light Roast"/>
    <n v="0.5"/>
    <n v="9.51"/>
    <n v="57.06"/>
  </r>
  <r>
    <s v="AMM-79521-378"/>
    <x v="27"/>
    <s v="24825-51803-CQ"/>
    <s v="A-D-0.5"/>
    <n v="6"/>
    <s v="Faber Eilhart"/>
    <s v="feilhartz@who.int"/>
    <s v="United States"/>
    <x v="2"/>
    <s v="Dark Roast"/>
    <n v="0.5"/>
    <n v="5.97"/>
    <n v="35.82"/>
  </r>
  <r>
    <s v="QUQ-90580-772"/>
    <x v="28"/>
    <s v="77634-13918-GJ"/>
    <s v="L-M-0.2"/>
    <n v="2"/>
    <s v="Zorina Ponting"/>
    <s v="zponting10@altervista.org"/>
    <s v="United States"/>
    <x v="3"/>
    <s v="Medium Roast"/>
    <n v="0.2"/>
    <n v="4.3650000000000002"/>
    <n v="8.73"/>
  </r>
  <r>
    <s v="LGD-24408-274"/>
    <x v="29"/>
    <s v="13694-25001-LX"/>
    <s v="L-L-0.5"/>
    <n v="3"/>
    <s v="Silvio Strase"/>
    <s v="sstrase11@booking.com"/>
    <s v="United States"/>
    <x v="3"/>
    <s v="Light Roast"/>
    <n v="0.5"/>
    <n v="9.51"/>
    <n v="28.53"/>
  </r>
  <r>
    <s v="HCT-95608-959"/>
    <x v="30"/>
    <s v="08523-01791-TI"/>
    <s v="R-M-2.5"/>
    <n v="5"/>
    <s v="Dorie de la Tremoille"/>
    <s v="dde12@unesco.org"/>
    <s v="United States"/>
    <x v="0"/>
    <s v="Medium Roast"/>
    <n v="2.5"/>
    <n v="22.884999999999998"/>
    <n v="114.42499999999998"/>
  </r>
  <r>
    <s v="OFX-99147-470"/>
    <x v="31"/>
    <s v="49860-68865-AB"/>
    <s v="R-M-1"/>
    <n v="6"/>
    <s v="Hy Zanetto"/>
    <s v=""/>
    <s v="United States"/>
    <x v="0"/>
    <s v="Medium Roast"/>
    <n v="1"/>
    <n v="9.9499999999999993"/>
    <n v="59.699999999999996"/>
  </r>
  <r>
    <s v="LUO-37559-016"/>
    <x v="32"/>
    <s v="21240-83132-SP"/>
    <s v="L-M-1"/>
    <n v="3"/>
    <s v="Jessica McNess"/>
    <s v=""/>
    <s v="United States"/>
    <x v="3"/>
    <s v="Medium Roast"/>
    <n v="1"/>
    <n v="14.55"/>
    <n v="43.650000000000006"/>
  </r>
  <r>
    <s v="XWC-20610-167"/>
    <x v="33"/>
    <s v="08350-81623-TF"/>
    <s v="E-D-0.2"/>
    <n v="2"/>
    <s v="Lorenzo Yeoland"/>
    <s v="lyeoland15@pbs.org"/>
    <s v="United States"/>
    <x v="1"/>
    <s v="Dark Roast"/>
    <n v="0.2"/>
    <n v="3.645"/>
    <n v="7.29"/>
  </r>
  <r>
    <s v="GPU-79113-136"/>
    <x v="34"/>
    <s v="73284-01385-SJ"/>
    <s v="R-D-0.2"/>
    <n v="3"/>
    <s v="Abigail Tolworthy"/>
    <s v="atolworthy16@toplist.cz"/>
    <s v="United States"/>
    <x v="0"/>
    <s v="Dark Roast"/>
    <n v="0.2"/>
    <n v="2.6849999999999996"/>
    <n v="8.0549999999999997"/>
  </r>
  <r>
    <s v="ULR-52653-960"/>
    <x v="35"/>
    <s v="04152-34436-IE"/>
    <s v="L-L-2.5"/>
    <n v="2"/>
    <s v="Maurie Bartol"/>
    <s v=""/>
    <s v="United States"/>
    <x v="3"/>
    <s v="Light Roast"/>
    <n v="2.5"/>
    <n v="36.454999999999998"/>
    <n v="72.91"/>
  </r>
  <r>
    <s v="HPI-42308-142"/>
    <x v="36"/>
    <s v="06631-86965-XP"/>
    <s v="E-M-0.5"/>
    <n v="2"/>
    <s v="Olag Baudassi"/>
    <s v="obaudassi18@seesaa.net"/>
    <s v="United States"/>
    <x v="1"/>
    <s v="Medium Roast"/>
    <n v="0.5"/>
    <n v="8.25"/>
    <n v="16.5"/>
  </r>
  <r>
    <s v="XHI-30227-581"/>
    <x v="37"/>
    <s v="54619-08558-ZU"/>
    <s v="L-D-2.5"/>
    <n v="6"/>
    <s v="Petey Kingsbury"/>
    <s v="pkingsbury19@comcast.net"/>
    <s v="United States"/>
    <x v="3"/>
    <s v="Dark Roast"/>
    <n v="2.5"/>
    <n v="29.784999999999997"/>
    <n v="178.70999999999998"/>
  </r>
  <r>
    <s v="DJH-05202-380"/>
    <x v="38"/>
    <s v="85589-17020-CX"/>
    <s v="E-M-2.5"/>
    <n v="2"/>
    <s v="Donna Baskeyfied"/>
    <s v=""/>
    <s v="United States"/>
    <x v="1"/>
    <s v="Medium Roast"/>
    <n v="2.5"/>
    <n v="31.624999999999996"/>
    <n v="63.249999999999993"/>
  </r>
  <r>
    <s v="VMW-26889-781"/>
    <x v="39"/>
    <s v="36078-91009-WU"/>
    <s v="A-L-0.2"/>
    <n v="2"/>
    <s v="Arda Curley"/>
    <s v="acurley1b@hao123.com"/>
    <s v="United States"/>
    <x v="2"/>
    <s v="Light Roast"/>
    <n v="0.2"/>
    <n v="3.8849999999999998"/>
    <n v="7.77"/>
  </r>
  <r>
    <s v="DBU-81099-586"/>
    <x v="40"/>
    <s v="15770-27099-GX"/>
    <s v="A-D-2.5"/>
    <n v="4"/>
    <s v="Raynor McGilvary"/>
    <s v="rmcgilvary1c@tamu.edu"/>
    <s v="United States"/>
    <x v="2"/>
    <s v="Dark Roast"/>
    <n v="2.5"/>
    <n v="22.884999999999998"/>
    <n v="91.539999999999992"/>
  </r>
  <r>
    <s v="PQA-54820-810"/>
    <x v="41"/>
    <s v="91460-04823-BX"/>
    <s v="A-L-1"/>
    <n v="3"/>
    <s v="Isis Pikett"/>
    <s v="ipikett1d@xinhuanet.com"/>
    <s v="United States"/>
    <x v="2"/>
    <s v="Light Roast"/>
    <n v="1"/>
    <n v="12.95"/>
    <n v="38.849999999999994"/>
  </r>
  <r>
    <s v="XKB-41924-202"/>
    <x v="42"/>
    <s v="45089-52817-WN"/>
    <s v="L-D-0.5"/>
    <n v="2"/>
    <s v="Inger Bouldon"/>
    <s v="ibouldon1e@gizmodo.com"/>
    <s v="United States"/>
    <x v="3"/>
    <s v="Dark Roast"/>
    <n v="0.5"/>
    <n v="7.77"/>
    <n v="15.54"/>
  </r>
  <r>
    <s v="DWZ-69106-473"/>
    <x v="43"/>
    <s v="76447-50326-IC"/>
    <s v="L-L-2.5"/>
    <n v="4"/>
    <s v="Karry Flanders"/>
    <s v="kflanders1f@over-blog.com"/>
    <s v="Ireland"/>
    <x v="3"/>
    <s v="Light Roast"/>
    <n v="2.5"/>
    <n v="36.454999999999998"/>
    <n v="145.82"/>
  </r>
  <r>
    <s v="YHV-68700-050"/>
    <x v="44"/>
    <s v="26333-67911-OL"/>
    <s v="R-M-0.5"/>
    <n v="5"/>
    <s v="Hartley Mattioli"/>
    <s v="hmattioli1g@webmd.com"/>
    <s v="United Kingdom"/>
    <x v="0"/>
    <s v="Medium Roast"/>
    <n v="0.5"/>
    <n v="5.97"/>
    <n v="29.849999999999998"/>
  </r>
  <r>
    <s v="YHV-68700-050"/>
    <x v="44"/>
    <s v="26333-67911-OL"/>
    <s v="L-L-2.5"/>
    <n v="2"/>
    <s v="Hartley Mattioli"/>
    <s v="hmattioli1g@webmd.com"/>
    <s v="United Kingdom"/>
    <x v="3"/>
    <s v="Light Roast"/>
    <n v="2.5"/>
    <n v="36.454999999999998"/>
    <n v="72.91"/>
  </r>
  <r>
    <s v="KRB-88066-642"/>
    <x v="45"/>
    <s v="22107-86640-SB"/>
    <s v="L-M-1"/>
    <n v="5"/>
    <s v="Archambault Gillard"/>
    <s v="agillard1i@issuu.com"/>
    <s v="United States"/>
    <x v="3"/>
    <s v="Medium Roast"/>
    <n v="1"/>
    <n v="14.55"/>
    <n v="72.75"/>
  </r>
  <r>
    <s v="LQU-08404-173"/>
    <x v="46"/>
    <s v="09960-34242-LZ"/>
    <s v="L-L-1"/>
    <n v="3"/>
    <s v="Salomo Cushworth"/>
    <s v=""/>
    <s v="United States"/>
    <x v="3"/>
    <s v="Light Roast"/>
    <n v="1"/>
    <n v="15.85"/>
    <n v="47.55"/>
  </r>
  <r>
    <s v="CWK-60159-881"/>
    <x v="47"/>
    <s v="04671-85591-RT"/>
    <s v="E-D-0.2"/>
    <n v="3"/>
    <s v="Theda Grizard"/>
    <s v="tgrizard1k@odnoklassniki.ru"/>
    <s v="United States"/>
    <x v="1"/>
    <s v="Dark Roast"/>
    <n v="0.2"/>
    <n v="3.645"/>
    <n v="10.935"/>
  </r>
  <r>
    <s v="EEG-74197-843"/>
    <x v="48"/>
    <s v="25729-68859-UA"/>
    <s v="E-L-1"/>
    <n v="4"/>
    <s v="Rozele Relton"/>
    <s v="rrelton1l@stanford.edu"/>
    <s v="United States"/>
    <x v="1"/>
    <s v="Light Roast"/>
    <n v="1"/>
    <n v="14.85"/>
    <n v="59.4"/>
  </r>
  <r>
    <s v="UCZ-59708-525"/>
    <x v="49"/>
    <s v="05501-86351-NX"/>
    <s v="L-D-2.5"/>
    <n v="3"/>
    <s v="Willa Rolling"/>
    <s v=""/>
    <s v="United States"/>
    <x v="3"/>
    <s v="Dark Roast"/>
    <n v="2.5"/>
    <n v="29.784999999999997"/>
    <n v="89.35499999999999"/>
  </r>
  <r>
    <s v="HUB-47311-849"/>
    <x v="50"/>
    <s v="04521-04300-OK"/>
    <s v="L-M-0.5"/>
    <n v="3"/>
    <s v="Stanislaus Gilroy"/>
    <s v="sgilroy1n@eepurl.com"/>
    <s v="United States"/>
    <x v="3"/>
    <s v="Medium Roast"/>
    <n v="0.5"/>
    <n v="8.73"/>
    <n v="26.19"/>
  </r>
  <r>
    <s v="WYM-17686-694"/>
    <x v="51"/>
    <s v="58689-55264-VK"/>
    <s v="A-D-2.5"/>
    <n v="5"/>
    <s v="Correy Cottingham"/>
    <s v="ccottingham1o@wikipedia.org"/>
    <s v="United States"/>
    <x v="2"/>
    <s v="Dark Roast"/>
    <n v="2.5"/>
    <n v="22.884999999999998"/>
    <n v="114.42499999999998"/>
  </r>
  <r>
    <s v="ZYQ-15797-695"/>
    <x v="52"/>
    <s v="79436-73011-MM"/>
    <s v="R-D-0.5"/>
    <n v="5"/>
    <s v="Pammi Endacott"/>
    <s v=""/>
    <s v="United Kingdom"/>
    <x v="0"/>
    <s v="Dark Roast"/>
    <n v="0.5"/>
    <n v="5.3699999999999992"/>
    <n v="26.849999999999994"/>
  </r>
  <r>
    <s v="EEJ-16185-108"/>
    <x v="53"/>
    <s v="65552-60476-KY"/>
    <s v="L-L-0.2"/>
    <n v="5"/>
    <s v="Nona Linklater"/>
    <s v=""/>
    <s v="United States"/>
    <x v="3"/>
    <s v="Light Roast"/>
    <n v="0.2"/>
    <n v="4.7549999999999999"/>
    <n v="23.774999999999999"/>
  </r>
  <r>
    <s v="RWR-77888-800"/>
    <x v="54"/>
    <s v="69904-02729-YS"/>
    <s v="A-M-0.5"/>
    <n v="1"/>
    <s v="Annadiane Dykes"/>
    <s v="adykes1r@eventbrite.com"/>
    <s v="United States"/>
    <x v="2"/>
    <s v="Medium Roast"/>
    <n v="0.5"/>
    <n v="6.75"/>
    <n v="6.75"/>
  </r>
  <r>
    <s v="LHN-75209-742"/>
    <x v="55"/>
    <s v="01433-04270-AX"/>
    <s v="R-M-0.5"/>
    <n v="6"/>
    <s v="Felecia Dodgson"/>
    <s v=""/>
    <s v="United States"/>
    <x v="0"/>
    <s v="Medium Roast"/>
    <n v="0.5"/>
    <n v="5.97"/>
    <n v="35.82"/>
  </r>
  <r>
    <s v="TIR-71396-998"/>
    <x v="56"/>
    <s v="14204-14186-LA"/>
    <s v="R-D-2.5"/>
    <n v="4"/>
    <s v="Angelia Cockrem"/>
    <s v="acockrem1t@engadget.com"/>
    <s v="United States"/>
    <x v="0"/>
    <s v="Dark Roast"/>
    <n v="2.5"/>
    <n v="20.584999999999997"/>
    <n v="82.339999999999989"/>
  </r>
  <r>
    <s v="RXF-37618-213"/>
    <x v="57"/>
    <s v="32948-34398-HC"/>
    <s v="R-L-0.5"/>
    <n v="1"/>
    <s v="Belvia Umpleby"/>
    <s v="bumpleby1u@soundcloud.com"/>
    <s v="United States"/>
    <x v="0"/>
    <s v="Light Roast"/>
    <n v="0.5"/>
    <n v="7.169999999999999"/>
    <n v="7.169999999999999"/>
  </r>
  <r>
    <s v="ANM-16388-634"/>
    <x v="58"/>
    <s v="77343-52608-FF"/>
    <s v="L-L-0.2"/>
    <n v="2"/>
    <s v="Nat Saleway"/>
    <s v="nsaleway1v@dedecms.com"/>
    <s v="United States"/>
    <x v="3"/>
    <s v="Light Roast"/>
    <n v="0.2"/>
    <n v="4.7549999999999999"/>
    <n v="9.51"/>
  </r>
  <r>
    <s v="WYL-29300-070"/>
    <x v="59"/>
    <s v="42770-36274-QA"/>
    <s v="R-M-0.2"/>
    <n v="1"/>
    <s v="Hayward Goulter"/>
    <s v="hgoulter1w@abc.net.au"/>
    <s v="United States"/>
    <x v="0"/>
    <s v="Medium Roast"/>
    <n v="0.2"/>
    <n v="2.9849999999999999"/>
    <n v="2.9849999999999999"/>
  </r>
  <r>
    <s v="JHW-74554-805"/>
    <x v="60"/>
    <s v="14103-58987-ZU"/>
    <s v="R-M-1"/>
    <n v="6"/>
    <s v="Gay Rizzello"/>
    <s v="grizzello1x@symantec.com"/>
    <s v="United Kingdom"/>
    <x v="0"/>
    <s v="Medium Roast"/>
    <n v="1"/>
    <n v="9.9499999999999993"/>
    <n v="59.699999999999996"/>
  </r>
  <r>
    <s v="KYS-27063-603"/>
    <x v="61"/>
    <s v="69958-32065-SW"/>
    <s v="E-L-2.5"/>
    <n v="4"/>
    <s v="Shannon List"/>
    <s v="slist1y@mapquest.com"/>
    <s v="United States"/>
    <x v="1"/>
    <s v="Light Roast"/>
    <n v="2.5"/>
    <n v="34.154999999999994"/>
    <n v="136.61999999999998"/>
  </r>
  <r>
    <s v="GAZ-58626-277"/>
    <x v="62"/>
    <s v="69533-84907-FA"/>
    <s v="L-L-0.2"/>
    <n v="2"/>
    <s v="Shirlene Edmondson"/>
    <s v="sedmondson1z@theguardian.com"/>
    <s v="Ireland"/>
    <x v="3"/>
    <s v="Light Roast"/>
    <n v="0.2"/>
    <n v="4.7549999999999999"/>
    <n v="9.51"/>
  </r>
  <r>
    <s v="RPJ-37787-335"/>
    <x v="63"/>
    <s v="76005-95461-CI"/>
    <s v="A-M-2.5"/>
    <n v="3"/>
    <s v="Aurlie McCarl"/>
    <s v=""/>
    <s v="United States"/>
    <x v="2"/>
    <s v="Medium Roast"/>
    <n v="2.5"/>
    <n v="25.874999999999996"/>
    <n v="77.624999999999986"/>
  </r>
  <r>
    <s v="LEF-83057-763"/>
    <x v="64"/>
    <s v="15395-90855-VB"/>
    <s v="L-M-0.2"/>
    <n v="5"/>
    <s v="Alikee Carryer"/>
    <s v=""/>
    <s v="United States"/>
    <x v="3"/>
    <s v="Medium Roast"/>
    <n v="0.2"/>
    <n v="4.3650000000000002"/>
    <n v="21.825000000000003"/>
  </r>
  <r>
    <s v="RPW-36123-215"/>
    <x v="65"/>
    <s v="80640-45811-LB"/>
    <s v="E-L-0.5"/>
    <n v="2"/>
    <s v="Jennifer Rangall"/>
    <s v="jrangall22@newsvine.com"/>
    <s v="United States"/>
    <x v="1"/>
    <s v="Light Roast"/>
    <n v="0.5"/>
    <n v="8.91"/>
    <n v="17.82"/>
  </r>
  <r>
    <s v="WLL-59044-117"/>
    <x v="66"/>
    <s v="28476-04082-GR"/>
    <s v="R-D-1"/>
    <n v="6"/>
    <s v="Kipper Boorn"/>
    <s v="kboorn23@ezinearticles.com"/>
    <s v="Ireland"/>
    <x v="0"/>
    <s v="Dark Roast"/>
    <n v="1"/>
    <n v="8.9499999999999993"/>
    <n v="53.699999999999996"/>
  </r>
  <r>
    <s v="AWT-22827-563"/>
    <x v="67"/>
    <s v="12018-75670-EU"/>
    <s v="R-L-0.2"/>
    <n v="1"/>
    <s v="Melania Beadle"/>
    <s v=""/>
    <s v="Ireland"/>
    <x v="0"/>
    <s v="Light Roast"/>
    <n v="0.2"/>
    <n v="3.5849999999999995"/>
    <n v="3.5849999999999995"/>
  </r>
  <r>
    <s v="QLM-07145-668"/>
    <x v="68"/>
    <s v="86437-17399-FK"/>
    <s v="E-D-0.2"/>
    <n v="2"/>
    <s v="Colene Elgey"/>
    <s v="celgey25@webs.com"/>
    <s v="United States"/>
    <x v="1"/>
    <s v="Dark Roast"/>
    <n v="0.2"/>
    <n v="3.645"/>
    <n v="7.29"/>
  </r>
  <r>
    <s v="HVQ-64398-930"/>
    <x v="69"/>
    <s v="62979-53167-ML"/>
    <s v="A-M-0.5"/>
    <n v="6"/>
    <s v="Lothaire Mizzi"/>
    <s v="lmizzi26@rakuten.co.jp"/>
    <s v="United States"/>
    <x v="2"/>
    <s v="Medium Roast"/>
    <n v="0.5"/>
    <n v="6.75"/>
    <n v="40.5"/>
  </r>
  <r>
    <s v="WRT-40778-247"/>
    <x v="70"/>
    <s v="54810-81899-HL"/>
    <s v="R-L-1"/>
    <n v="4"/>
    <s v="Cletis Giacomazzo"/>
    <s v="cgiacomazzo27@jigsy.com"/>
    <s v="United States"/>
    <x v="0"/>
    <s v="Light Roast"/>
    <n v="1"/>
    <n v="11.95"/>
    <n v="47.8"/>
  </r>
  <r>
    <s v="SUB-13006-125"/>
    <x v="71"/>
    <s v="26103-41504-IB"/>
    <s v="A-L-0.5"/>
    <n v="5"/>
    <s v="Ami Arnow"/>
    <s v="aarnow28@arizona.edu"/>
    <s v="United States"/>
    <x v="2"/>
    <s v="Light Roast"/>
    <n v="0.5"/>
    <n v="7.77"/>
    <n v="38.849999999999994"/>
  </r>
  <r>
    <s v="CQM-49696-263"/>
    <x v="72"/>
    <s v="76534-45229-SG"/>
    <s v="L-L-2.5"/>
    <n v="3"/>
    <s v="Sheppard Yann"/>
    <s v="syann29@senate.gov"/>
    <s v="United States"/>
    <x v="3"/>
    <s v="Light Roast"/>
    <n v="2.5"/>
    <n v="36.454999999999998"/>
    <n v="109.36499999999999"/>
  </r>
  <r>
    <s v="KXN-85094-246"/>
    <x v="73"/>
    <s v="81744-27332-RR"/>
    <s v="L-M-2.5"/>
    <n v="3"/>
    <s v="Bunny Naulls"/>
    <s v="bnaulls2a@tiny.cc"/>
    <s v="Ireland"/>
    <x v="3"/>
    <s v="Medium Roast"/>
    <n v="2.5"/>
    <n v="33.464999999999996"/>
    <n v="100.39499999999998"/>
  </r>
  <r>
    <s v="XOQ-12405-419"/>
    <x v="74"/>
    <s v="91513-75657-PH"/>
    <s v="R-D-2.5"/>
    <n v="4"/>
    <s v="Hally Lorait"/>
    <s v=""/>
    <s v="United States"/>
    <x v="0"/>
    <s v="Dark Roast"/>
    <n v="2.5"/>
    <n v="20.584999999999997"/>
    <n v="82.339999999999989"/>
  </r>
  <r>
    <s v="HYF-10254-369"/>
    <x v="75"/>
    <s v="30373-66619-CB"/>
    <s v="L-L-0.5"/>
    <n v="1"/>
    <s v="Zaccaria Sherewood"/>
    <s v="zsherewood2c@apache.org"/>
    <s v="United States"/>
    <x v="3"/>
    <s v="Light Roast"/>
    <n v="0.5"/>
    <n v="9.51"/>
    <n v="9.51"/>
  </r>
  <r>
    <s v="XXJ-47000-307"/>
    <x v="76"/>
    <s v="31582-23562-FM"/>
    <s v="A-L-2.5"/>
    <n v="3"/>
    <s v="Jeffrey Dufaire"/>
    <s v="jdufaire2d@fc2.com"/>
    <s v="United States"/>
    <x v="2"/>
    <s v="Light Roast"/>
    <n v="2.5"/>
    <n v="29.784999999999997"/>
    <n v="89.35499999999999"/>
  </r>
  <r>
    <s v="XXJ-47000-307"/>
    <x v="76"/>
    <s v="31582-23562-FM"/>
    <s v="A-D-0.2"/>
    <n v="4"/>
    <s v="Jeffrey Dufaire"/>
    <s v="jdufaire2d@fc2.com"/>
    <s v="United States"/>
    <x v="2"/>
    <s v="Dark Roast"/>
    <n v="0.2"/>
    <n v="2.9849999999999999"/>
    <n v="11.94"/>
  </r>
  <r>
    <s v="ZDK-82166-357"/>
    <x v="77"/>
    <s v="81431-12577-VD"/>
    <s v="A-M-1"/>
    <n v="3"/>
    <s v="Beitris Keaveney"/>
    <s v="bkeaveney2f@netlog.com"/>
    <s v="United States"/>
    <x v="2"/>
    <s v="Medium Roast"/>
    <n v="1"/>
    <n v="11.25"/>
    <n v="33.75"/>
  </r>
  <r>
    <s v="IHN-19982-362"/>
    <x v="78"/>
    <s v="68894-91205-MP"/>
    <s v="R-L-1"/>
    <n v="3"/>
    <s v="Elna Grise"/>
    <s v="egrise2g@cargocollective.com"/>
    <s v="United States"/>
    <x v="0"/>
    <s v="Light Roast"/>
    <n v="1"/>
    <n v="11.95"/>
    <n v="35.849999999999994"/>
  </r>
  <r>
    <s v="VMT-10030-889"/>
    <x v="79"/>
    <s v="87602-55754-VN"/>
    <s v="A-L-1"/>
    <n v="6"/>
    <s v="Torie Gottelier"/>
    <s v="tgottelier2h@vistaprint.com"/>
    <s v="United States"/>
    <x v="2"/>
    <s v="Light Roast"/>
    <n v="1"/>
    <n v="12.95"/>
    <n v="77.699999999999989"/>
  </r>
  <r>
    <s v="NHL-11063-100"/>
    <x v="80"/>
    <s v="39181-35745-WH"/>
    <s v="A-L-1"/>
    <n v="4"/>
    <s v="Loydie Langlais"/>
    <s v=""/>
    <s v="Ireland"/>
    <x v="2"/>
    <s v="Light Roast"/>
    <n v="1"/>
    <n v="12.95"/>
    <n v="51.8"/>
  </r>
  <r>
    <s v="ROV-87448-086"/>
    <x v="81"/>
    <s v="30381-64762-NG"/>
    <s v="A-M-2.5"/>
    <n v="4"/>
    <s v="Adham Greenhead"/>
    <s v="agreenhead2j@dailymail.co.uk"/>
    <s v="United States"/>
    <x v="2"/>
    <s v="Medium Roast"/>
    <n v="2.5"/>
    <n v="25.874999999999996"/>
    <n v="103.49999999999999"/>
  </r>
  <r>
    <s v="DGY-35773-612"/>
    <x v="82"/>
    <s v="17503-27693-ZH"/>
    <s v="E-L-1"/>
    <n v="3"/>
    <s v="Hamish MacSherry"/>
    <s v=""/>
    <s v="United States"/>
    <x v="1"/>
    <s v="Light Roast"/>
    <n v="1"/>
    <n v="14.85"/>
    <n v="44.55"/>
  </r>
  <r>
    <s v="YWH-50638-556"/>
    <x v="83"/>
    <s v="89442-35633-HJ"/>
    <s v="E-L-0.5"/>
    <n v="4"/>
    <s v="Else Langcaster"/>
    <s v="elangcaster2l@spotify.com"/>
    <s v="United Kingdom"/>
    <x v="1"/>
    <s v="Light Roast"/>
    <n v="0.5"/>
    <n v="8.91"/>
    <n v="35.64"/>
  </r>
  <r>
    <s v="ISL-11200-600"/>
    <x v="84"/>
    <s v="13654-85265-IL"/>
    <s v="A-D-0.2"/>
    <n v="6"/>
    <s v="Rudy Farquharson"/>
    <s v=""/>
    <s v="Ireland"/>
    <x v="2"/>
    <s v="Dark Roast"/>
    <n v="0.2"/>
    <n v="2.9849999999999999"/>
    <n v="17.91"/>
  </r>
  <r>
    <s v="LBZ-75997-047"/>
    <x v="85"/>
    <s v="40946-22090-FP"/>
    <s v="A-M-2.5"/>
    <n v="6"/>
    <s v="Norene Magauran"/>
    <s v="nmagauran2n@51.la"/>
    <s v="United States"/>
    <x v="2"/>
    <s v="Medium Roast"/>
    <n v="2.5"/>
    <n v="25.874999999999996"/>
    <n v="155.24999999999997"/>
  </r>
  <r>
    <s v="EUH-08089-954"/>
    <x v="86"/>
    <s v="29050-93691-TS"/>
    <s v="A-D-0.2"/>
    <n v="2"/>
    <s v="Vicki Kirdsch"/>
    <s v="vkirdsch2o@google.fr"/>
    <s v="United States"/>
    <x v="2"/>
    <s v="Dark Roast"/>
    <n v="0.2"/>
    <n v="2.9849999999999999"/>
    <n v="5.97"/>
  </r>
  <r>
    <s v="BLD-12227-251"/>
    <x v="87"/>
    <s v="64395-74865-WF"/>
    <s v="A-M-0.5"/>
    <n v="2"/>
    <s v="Ilysa Whapple"/>
    <s v="iwhapple2p@com.com"/>
    <s v="United States"/>
    <x v="2"/>
    <s v="Medium Roast"/>
    <n v="0.5"/>
    <n v="6.75"/>
    <n v="13.5"/>
  </r>
  <r>
    <s v="OPY-30711-853"/>
    <x v="25"/>
    <s v="81861-66046-SU"/>
    <s v="A-D-0.2"/>
    <n v="1"/>
    <s v="Ruy Cancellieri"/>
    <s v=""/>
    <s v="Ireland"/>
    <x v="2"/>
    <s v="Dark Roast"/>
    <n v="0.2"/>
    <n v="2.9849999999999999"/>
    <n v="2.9849999999999999"/>
  </r>
  <r>
    <s v="DBC-44122-300"/>
    <x v="88"/>
    <s v="13366-78506-KP"/>
    <s v="L-M-0.2"/>
    <n v="3"/>
    <s v="Aube Follett"/>
    <s v=""/>
    <s v="United States"/>
    <x v="3"/>
    <s v="Medium Roast"/>
    <n v="0.2"/>
    <n v="4.3650000000000002"/>
    <n v="13.095000000000001"/>
  </r>
  <r>
    <s v="FJQ-60035-234"/>
    <x v="89"/>
    <s v="08847-29858-HN"/>
    <s v="A-L-0.2"/>
    <n v="2"/>
    <s v="Rudiger Di Bartolomeo"/>
    <s v=""/>
    <s v="United States"/>
    <x v="2"/>
    <s v="Light Roast"/>
    <n v="0.2"/>
    <n v="3.8849999999999998"/>
    <n v="7.77"/>
  </r>
  <r>
    <s v="HSF-66926-425"/>
    <x v="90"/>
    <s v="00539-42510-RY"/>
    <s v="L-D-2.5"/>
    <n v="5"/>
    <s v="Nickey Youles"/>
    <s v="nyoules2t@reference.com"/>
    <s v="Ireland"/>
    <x v="3"/>
    <s v="Dark Roast"/>
    <n v="2.5"/>
    <n v="29.784999999999997"/>
    <n v="148.92499999999998"/>
  </r>
  <r>
    <s v="LQG-41416-375"/>
    <x v="91"/>
    <s v="45190-08727-NV"/>
    <s v="L-D-1"/>
    <n v="3"/>
    <s v="Dyanna Aizikovitz"/>
    <s v="daizikovitz2u@answers.com"/>
    <s v="Ireland"/>
    <x v="3"/>
    <s v="Dark Roast"/>
    <n v="1"/>
    <n v="12.95"/>
    <n v="38.849999999999994"/>
  </r>
  <r>
    <s v="VZO-97265-841"/>
    <x v="92"/>
    <s v="87049-37901-FU"/>
    <s v="R-M-0.2"/>
    <n v="4"/>
    <s v="Bram Revel"/>
    <s v="brevel2v@fastcompany.com"/>
    <s v="United States"/>
    <x v="0"/>
    <s v="Medium Roast"/>
    <n v="0.2"/>
    <n v="2.9849999999999999"/>
    <n v="11.94"/>
  </r>
  <r>
    <s v="MOR-12987-399"/>
    <x v="93"/>
    <s v="34015-31593-JC"/>
    <s v="L-M-1"/>
    <n v="6"/>
    <s v="Emiline Priddis"/>
    <s v="epriddis2w@nationalgeographic.com"/>
    <s v="United States"/>
    <x v="3"/>
    <s v="Medium Roast"/>
    <n v="1"/>
    <n v="14.55"/>
    <n v="87.300000000000011"/>
  </r>
  <r>
    <s v="UOA-23786-489"/>
    <x v="94"/>
    <s v="90305-50099-SV"/>
    <s v="A-M-0.5"/>
    <n v="6"/>
    <s v="Queenie Veel"/>
    <s v="qveel2x@jugem.jp"/>
    <s v="United States"/>
    <x v="2"/>
    <s v="Medium Roast"/>
    <n v="0.5"/>
    <n v="6.75"/>
    <n v="40.5"/>
  </r>
  <r>
    <s v="AJL-52941-018"/>
    <x v="95"/>
    <s v="55871-61935-MF"/>
    <s v="E-D-1"/>
    <n v="2"/>
    <s v="Lind Conyers"/>
    <s v="lconyers2y@twitter.com"/>
    <s v="United States"/>
    <x v="1"/>
    <s v="Dark Roast"/>
    <n v="1"/>
    <n v="12.15"/>
    <n v="24.3"/>
  </r>
  <r>
    <s v="XSZ-84273-421"/>
    <x v="96"/>
    <s v="15405-60469-TM"/>
    <s v="R-M-0.5"/>
    <n v="3"/>
    <s v="Pen Wye"/>
    <s v="pwye2z@dagondesign.com"/>
    <s v="United States"/>
    <x v="0"/>
    <s v="Medium Roast"/>
    <n v="0.5"/>
    <n v="5.97"/>
    <n v="17.91"/>
  </r>
  <r>
    <s v="NUN-48214-216"/>
    <x v="97"/>
    <s v="06953-94794-FB"/>
    <s v="A-M-0.5"/>
    <n v="4"/>
    <s v="Isahella Hagland"/>
    <s v=""/>
    <s v="United States"/>
    <x v="2"/>
    <s v="Medium Roast"/>
    <n v="0.5"/>
    <n v="6.75"/>
    <n v="27"/>
  </r>
  <r>
    <s v="AKV-93064-769"/>
    <x v="98"/>
    <s v="22305-40299-CY"/>
    <s v="L-D-0.5"/>
    <n v="1"/>
    <s v="Terry Sheryn"/>
    <s v="tsheryn31@mtv.com"/>
    <s v="United States"/>
    <x v="3"/>
    <s v="Dark Roast"/>
    <n v="0.5"/>
    <n v="7.77"/>
    <n v="7.77"/>
  </r>
  <r>
    <s v="BRB-40903-533"/>
    <x v="99"/>
    <s v="09020-56774-GU"/>
    <s v="E-L-0.2"/>
    <n v="3"/>
    <s v="Marie-jeanne Redgrave"/>
    <s v="mredgrave32@cargocollective.com"/>
    <s v="United States"/>
    <x v="1"/>
    <s v="Light Roast"/>
    <n v="0.2"/>
    <n v="4.4550000000000001"/>
    <n v="13.365"/>
  </r>
  <r>
    <s v="GPR-19973-483"/>
    <x v="100"/>
    <s v="92926-08470-YS"/>
    <s v="R-D-0.5"/>
    <n v="5"/>
    <s v="Betty Fominov"/>
    <s v="bfominov33@yale.edu"/>
    <s v="United States"/>
    <x v="0"/>
    <s v="Dark Roast"/>
    <n v="0.5"/>
    <n v="5.3699999999999992"/>
    <n v="26.849999999999994"/>
  </r>
  <r>
    <s v="XIY-43041-882"/>
    <x v="101"/>
    <s v="07250-63194-JO"/>
    <s v="A-M-1"/>
    <n v="1"/>
    <s v="Shawnee Critchlow"/>
    <s v="scritchlow34@un.org"/>
    <s v="United States"/>
    <x v="2"/>
    <s v="Medium Roast"/>
    <n v="1"/>
    <n v="11.25"/>
    <n v="11.25"/>
  </r>
  <r>
    <s v="YGY-98425-969"/>
    <x v="102"/>
    <s v="63787-96257-TQ"/>
    <s v="L-M-1"/>
    <n v="1"/>
    <s v="Merrel Steptow"/>
    <s v="msteptow35@earthlink.net"/>
    <s v="Ireland"/>
    <x v="3"/>
    <s v="Medium Roast"/>
    <n v="1"/>
    <n v="14.55"/>
    <n v="14.55"/>
  </r>
  <r>
    <s v="MSB-08397-648"/>
    <x v="103"/>
    <s v="49530-25460-RW"/>
    <s v="R-L-0.2"/>
    <n v="4"/>
    <s v="Carmina Hubbuck"/>
    <s v=""/>
    <s v="United States"/>
    <x v="0"/>
    <s v="Light Roast"/>
    <n v="0.2"/>
    <n v="3.5849999999999995"/>
    <n v="14.339999999999998"/>
  </r>
  <r>
    <s v="WDR-06028-345"/>
    <x v="104"/>
    <s v="66508-21373-OQ"/>
    <s v="L-L-1"/>
    <n v="1"/>
    <s v="Ingeberg Mulliner"/>
    <s v="imulliner37@pinterest.com"/>
    <s v="United Kingdom"/>
    <x v="3"/>
    <s v="Light Roast"/>
    <n v="1"/>
    <n v="15.85"/>
    <n v="15.85"/>
  </r>
  <r>
    <s v="MXM-42948-061"/>
    <x v="105"/>
    <s v="20203-03950-FY"/>
    <s v="L-L-0.2"/>
    <n v="4"/>
    <s v="Geneva Standley"/>
    <s v="gstandley38@dion.ne.jp"/>
    <s v="Ireland"/>
    <x v="3"/>
    <s v="Light Roast"/>
    <n v="0.2"/>
    <n v="4.7549999999999999"/>
    <n v="19.02"/>
  </r>
  <r>
    <s v="MGQ-98961-173"/>
    <x v="11"/>
    <s v="83895-90735-XH"/>
    <s v="L-L-0.5"/>
    <n v="4"/>
    <s v="Brook Drage"/>
    <s v="bdrage39@youku.com"/>
    <s v="United States"/>
    <x v="3"/>
    <s v="Light Roast"/>
    <n v="0.5"/>
    <n v="9.51"/>
    <n v="38.04"/>
  </r>
  <r>
    <s v="RFH-64349-897"/>
    <x v="106"/>
    <s v="61954-61462-RJ"/>
    <s v="E-D-0.5"/>
    <n v="3"/>
    <s v="Muffin Yallop"/>
    <s v="myallop3a@fema.gov"/>
    <s v="United States"/>
    <x v="1"/>
    <s v="Dark Roast"/>
    <n v="0.5"/>
    <n v="7.29"/>
    <n v="21.87"/>
  </r>
  <r>
    <s v="TKL-20738-660"/>
    <x v="107"/>
    <s v="47939-53158-LS"/>
    <s v="E-M-0.2"/>
    <n v="1"/>
    <s v="Cordi Switsur"/>
    <s v="cswitsur3b@chronoengine.com"/>
    <s v="United States"/>
    <x v="1"/>
    <s v="Medium Roast"/>
    <n v="0.2"/>
    <n v="4.125"/>
    <n v="4.125"/>
  </r>
  <r>
    <s v="TKL-20738-660"/>
    <x v="107"/>
    <s v="47939-53158-LS"/>
    <s v="A-L-0.2"/>
    <n v="1"/>
    <s v="Cordi Switsur"/>
    <s v="cswitsur3b@chronoengine.com"/>
    <s v="United States"/>
    <x v="2"/>
    <s v="Light Roast"/>
    <n v="0.2"/>
    <n v="3.8849999999999998"/>
    <n v="3.8849999999999998"/>
  </r>
  <r>
    <s v="TKL-20738-660"/>
    <x v="107"/>
    <s v="47939-53158-LS"/>
    <s v="E-M-1"/>
    <n v="5"/>
    <s v="Cordi Switsur"/>
    <s v="cswitsur3b@chronoengine.com"/>
    <s v="United States"/>
    <x v="1"/>
    <s v="Medium Roast"/>
    <n v="1"/>
    <n v="13.75"/>
    <n v="68.75"/>
  </r>
  <r>
    <s v="GOW-03198-575"/>
    <x v="108"/>
    <s v="61513-27752-FA"/>
    <s v="A-D-0.5"/>
    <n v="4"/>
    <s v="Mahala Ludwell"/>
    <s v="mludwell3e@blogger.com"/>
    <s v="United States"/>
    <x v="2"/>
    <s v="Dark Roast"/>
    <n v="0.5"/>
    <n v="5.97"/>
    <n v="23.88"/>
  </r>
  <r>
    <s v="QJB-90477-635"/>
    <x v="109"/>
    <s v="89714-19856-WX"/>
    <s v="L-L-2.5"/>
    <n v="4"/>
    <s v="Doll Beauchamp"/>
    <s v="dbeauchamp3f@usda.gov"/>
    <s v="United States"/>
    <x v="3"/>
    <s v="Light Roast"/>
    <n v="2.5"/>
    <n v="36.454999999999998"/>
    <n v="145.82"/>
  </r>
  <r>
    <s v="MWP-46239-785"/>
    <x v="110"/>
    <s v="87979-56781-YV"/>
    <s v="L-M-0.2"/>
    <n v="5"/>
    <s v="Stanford Rodliff"/>
    <s v="srodliff3g@ted.com"/>
    <s v="United States"/>
    <x v="3"/>
    <s v="Medium Roast"/>
    <n v="0.2"/>
    <n v="4.3650000000000002"/>
    <n v="21.825000000000003"/>
  </r>
  <r>
    <s v="QDV-03406-248"/>
    <x v="111"/>
    <s v="74126-88836-KA"/>
    <s v="L-M-0.5"/>
    <n v="3"/>
    <s v="Stevana Woodham"/>
    <s v="swoodham3h@businesswire.com"/>
    <s v="Ireland"/>
    <x v="3"/>
    <s v="Medium Roast"/>
    <n v="0.5"/>
    <n v="8.73"/>
    <n v="26.19"/>
  </r>
  <r>
    <s v="GPH-40635-105"/>
    <x v="112"/>
    <s v="37397-05992-VO"/>
    <s v="A-M-1"/>
    <n v="1"/>
    <s v="Hewet Synnot"/>
    <s v="hsynnot3i@about.com"/>
    <s v="United States"/>
    <x v="2"/>
    <s v="Medium Roast"/>
    <n v="1"/>
    <n v="11.25"/>
    <n v="11.25"/>
  </r>
  <r>
    <s v="JOM-80930-071"/>
    <x v="113"/>
    <s v="54904-18397-UD"/>
    <s v="L-D-1"/>
    <n v="6"/>
    <s v="Raleigh Lepere"/>
    <s v="rlepere3j@shop-pro.jp"/>
    <s v="Ireland"/>
    <x v="3"/>
    <s v="Dark Roast"/>
    <n v="1"/>
    <n v="12.95"/>
    <n v="77.699999999999989"/>
  </r>
  <r>
    <s v="OIL-26493-755"/>
    <x v="114"/>
    <s v="19017-95853-EK"/>
    <s v="A-M-0.5"/>
    <n v="1"/>
    <s v="Timofei Woofinden"/>
    <s v="twoofinden3k@businesswire.com"/>
    <s v="United States"/>
    <x v="2"/>
    <s v="Medium Roast"/>
    <n v="0.5"/>
    <n v="6.75"/>
    <n v="6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FA268-BBB3-49FB-B72D-674153381A3A}" name="TotalSales" cacheId="0" applyNumberFormats="0" applyBorderFormats="0" applyFontFormats="0" applyPatternFormats="0" applyAlignmentFormats="0" applyWidthHeightFormats="1" dataCaption="Values" updatedVersion="6" minRefreshableVersion="5" useAutoFormatting="1" rowGrandTotals="0" colGrandTotals="0" itemPrintTitles="1" createdVersion="8" indent="0" compact="0" compactData="0" multipleFieldFilters="0" chartFormat="15">
  <location ref="A3:F12" firstHeaderRow="1" firstDataRow="2" firstDataCol="2"/>
  <pivotFields count="14">
    <pivotField compact="0" outline="0" showAll="0" defaultSubtotal="0"/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3"/>
    <field x="1"/>
  </rowFields>
  <rowItems count="8"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um of Sales" fld="12" baseField="1" baseItem="1" numFmtId="1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102" name="Order Date">
      <autoFilter ref="A1">
        <filterColumn colId="0">
          <customFilters and="1">
            <customFilter operator="greaterThanOrEqual" val="44562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ACB4E-F5AF-4E16-ACA6-2D51EEE8D1EE}" name="Orders" displayName="Orders" ref="A1:M130" totalsRowShown="0" headerRowDxfId="6" tableBorderDxfId="5">
  <autoFilter ref="A1:M130" xr:uid="{418ACB4E-F5AF-4E16-ACA6-2D51EEE8D1EE}"/>
  <tableColumns count="13">
    <tableColumn id="1" xr3:uid="{9B589EA5-05DC-4748-871D-D5F12A621202}" name="Order ID" dataDxfId="4"/>
    <tableColumn id="2" xr3:uid="{4D6FFFC9-AB01-41BF-AB69-14E46BCB2F45}" name="Order Date" dataDxfId="3"/>
    <tableColumn id="3" xr3:uid="{0C972F29-9130-44A2-B4A8-D3A4D62DDD7E}" name="Customer ID" dataDxfId="2"/>
    <tableColumn id="4" xr3:uid="{3BF8869B-1CE2-47C6-8768-C01334BC1CDF}" name="Product ID" dataDxfId="1"/>
    <tableColumn id="5" xr3:uid="{C72361C9-5493-4AC1-95DE-D9F0FE4C1A9D}" name="Quantity" dataDxfId="0"/>
    <tableColumn id="6" xr3:uid="{0D46AFE9-362F-44BD-A4DD-8617D32DC64B}" name="Customer">
      <calculatedColumnFormula>_xlfn.XLOOKUP(C2,customer_data!$B$1:$B$165,customer_data!$C$1:$C$165,,0)</calculatedColumnFormula>
    </tableColumn>
    <tableColumn id="7" xr3:uid="{8FC25D81-909B-4EDF-A6F1-5D808D2BC184}" name="Email">
      <calculatedColumnFormula>IF(_xlfn.XLOOKUP(C2,customer_data!$B$1:$B$165,customer_data!$D$1:$D$165,,0)=0,"",_xlfn.XLOOKUP(C2,customer_data!$B$1:$B$165,customer_data!$D$1:$D$165,,0))</calculatedColumnFormula>
    </tableColumn>
    <tableColumn id="8" xr3:uid="{0C88654F-8347-443D-8842-D753DB30700F}" name="Country">
      <calculatedColumnFormula>_xlfn.XLOOKUP(C2,customer_data!$B$1:$B$165,customer_data!$H$1:$H$165,,0)</calculatedColumnFormula>
    </tableColumn>
    <tableColumn id="9" xr3:uid="{0B8B66F7-AA84-4AC9-A2BB-02282DBB3D28}" name="coffee type">
      <calculatedColumnFormula>INDEX(Product_data!$A$1:$G$49,MATCH(order_data!$D2,Product_data!$A$1:$A$49,0),MATCH(order_data!I$1,Product_data!$A$1:$G$1,0))</calculatedColumnFormula>
    </tableColumn>
    <tableColumn id="10" xr3:uid="{52B53938-9AE9-4689-AA24-C3FAE56238C3}" name="Roast Type">
      <calculatedColumnFormula>INDEX(Product_data!$A$1:$G$49,MATCH(order_data!$D2,Product_data!$A$1:$A$49,0),MATCH(order_data!J$1,Product_data!$A$1:$G$1,0))</calculatedColumnFormula>
    </tableColumn>
    <tableColumn id="11" xr3:uid="{D31C68AE-FC42-437B-AA04-AF88FFB62517}" name="Size">
      <calculatedColumnFormula>INDEX(Product_data!$A$1:$G$49,MATCH(order_data!$D2,Product_data!$A$1:$A$49,0),MATCH(order_data!K$1,Product_data!$A$1:$G$1,0))</calculatedColumnFormula>
    </tableColumn>
    <tableColumn id="12" xr3:uid="{DE4C6D2D-A5CD-41CB-995B-509F0DB176B6}" name="Unit Price">
      <calculatedColumnFormula>INDEX(Product_data!$A$1:$G$49,MATCH(order_data!$D2,Product_data!$A$1:$A$49,0),MATCH(order_data!L$1,Product_data!$A$1:$G$1,0))</calculatedColumnFormula>
    </tableColumn>
    <tableColumn id="13" xr3:uid="{61985AA7-1204-4004-8CA7-C641FCBFAD88}" name="Sales">
      <calculatedColumnFormula>L2*E2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77006DB9-5B5C-4808-B4E2-BD6C66100F48}" sourceName="Order Date">
  <pivotTables>
    <pivotTable tabId="4" name="TotalSales"/>
  </pivotTables>
  <state minimalRefreshVersion="6" lastRefreshVersion="6" pivotCacheId="975625744" filterType="dateBetween">
    <selection startDate="2022-01-01T00:00:00" endDate="2022-12-31T00:00:00"/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676D4161-E0AB-4997-9092-6A9ED2858EE0}" cache="NativeTimeline_Order_Date" caption="Order Date" level="0" selectionLevel="0" scrollPosition="2019-01-01T00:00:00" style="TimeSlicerStyleLight2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1"/>
  <sheetViews>
    <sheetView workbookViewId="0">
      <selection activeCell="D6" sqref="D6"/>
    </sheetView>
  </sheetViews>
  <sheetFormatPr defaultRowHeight="13.8"/>
  <cols>
    <col min="2" max="2" width="17.296875" customWidth="1"/>
    <col min="3" max="3" width="15.296875" customWidth="1"/>
    <col min="4" max="4" width="14.3984375" customWidth="1"/>
    <col min="5" max="5" width="14.8984375" customWidth="1"/>
    <col min="6" max="6" width="19.296875" customWidth="1"/>
  </cols>
  <sheetData>
    <row r="1" spans="2:10" ht="14.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ht="14.4"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e">
        <f>_xlfn.XLOOKUP(C2,customer_data!$B$1:$B$165,customer_data!D1)</f>
        <v>#VALUE!</v>
      </c>
      <c r="H2" s="1" t="s">
        <v>14</v>
      </c>
      <c r="I2" s="1">
        <v>7505</v>
      </c>
      <c r="J2" t="s">
        <v>15</v>
      </c>
    </row>
    <row r="3" spans="2:10" ht="14.4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t="s">
        <v>24</v>
      </c>
    </row>
    <row r="4" spans="2:10" ht="14.4"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14</v>
      </c>
      <c r="I4" s="1">
        <v>78205</v>
      </c>
      <c r="J4" t="s">
        <v>15</v>
      </c>
    </row>
    <row r="5" spans="2:10" ht="14.4"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14</v>
      </c>
      <c r="I5" s="1">
        <v>62711</v>
      </c>
      <c r="J5" t="s">
        <v>15</v>
      </c>
    </row>
    <row r="6" spans="2:10" ht="14.4">
      <c r="B6" s="1" t="s">
        <v>37</v>
      </c>
      <c r="C6" s="1" t="s">
        <v>38</v>
      </c>
      <c r="D6" s="1"/>
      <c r="E6" s="1" t="s">
        <v>39</v>
      </c>
      <c r="F6" s="1" t="s">
        <v>40</v>
      </c>
      <c r="G6" s="1" t="s">
        <v>41</v>
      </c>
      <c r="H6" s="1" t="s">
        <v>22</v>
      </c>
      <c r="I6" s="1" t="s">
        <v>42</v>
      </c>
      <c r="J6" t="s">
        <v>24</v>
      </c>
    </row>
    <row r="7" spans="2:10" ht="14.4">
      <c r="B7" s="1" t="s">
        <v>43</v>
      </c>
      <c r="C7" s="1" t="s">
        <v>44</v>
      </c>
      <c r="D7" s="1"/>
      <c r="E7" s="1" t="s">
        <v>45</v>
      </c>
      <c r="F7" s="1" t="s">
        <v>46</v>
      </c>
      <c r="G7" s="1" t="s">
        <v>47</v>
      </c>
      <c r="H7" s="1" t="s">
        <v>14</v>
      </c>
      <c r="I7" s="1">
        <v>18505</v>
      </c>
      <c r="J7" t="s">
        <v>24</v>
      </c>
    </row>
    <row r="8" spans="2:10" ht="14.4"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14</v>
      </c>
      <c r="I8" s="1">
        <v>45440</v>
      </c>
      <c r="J8" t="s">
        <v>15</v>
      </c>
    </row>
    <row r="9" spans="2:10" ht="14.4">
      <c r="B9" s="1" t="s">
        <v>54</v>
      </c>
      <c r="C9" s="1" t="s">
        <v>55</v>
      </c>
      <c r="D9" s="1"/>
      <c r="E9" s="1" t="s">
        <v>56</v>
      </c>
      <c r="F9" s="1" t="s">
        <v>57</v>
      </c>
      <c r="G9" s="1" t="s">
        <v>58</v>
      </c>
      <c r="H9" s="1" t="s">
        <v>22</v>
      </c>
      <c r="I9" s="1" t="s">
        <v>59</v>
      </c>
      <c r="J9" t="s">
        <v>15</v>
      </c>
    </row>
    <row r="10" spans="2:10" ht="14.4"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14</v>
      </c>
      <c r="I10" s="1">
        <v>90045</v>
      </c>
      <c r="J10" t="s">
        <v>24</v>
      </c>
    </row>
    <row r="11" spans="2:10" ht="14.4"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65</v>
      </c>
      <c r="H11" s="1" t="s">
        <v>14</v>
      </c>
      <c r="I11" s="1">
        <v>90065</v>
      </c>
      <c r="J11" t="s">
        <v>24</v>
      </c>
    </row>
    <row r="12" spans="2:10" ht="14.4"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14</v>
      </c>
      <c r="I12" s="1">
        <v>95160</v>
      </c>
      <c r="J12" t="s">
        <v>24</v>
      </c>
    </row>
    <row r="13" spans="2:10" ht="14.4"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  <c r="G13" s="1" t="s">
        <v>76</v>
      </c>
      <c r="H13" s="1" t="s">
        <v>14</v>
      </c>
      <c r="I13" s="1">
        <v>95194</v>
      </c>
      <c r="J13" t="s">
        <v>15</v>
      </c>
    </row>
    <row r="14" spans="2:10" ht="14.4"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14</v>
      </c>
      <c r="I14" s="1">
        <v>23285</v>
      </c>
      <c r="J14" t="s">
        <v>24</v>
      </c>
    </row>
    <row r="15" spans="2:10" ht="14.4">
      <c r="B15" s="1" t="s">
        <v>88</v>
      </c>
      <c r="C15" s="1" t="s">
        <v>89</v>
      </c>
      <c r="D15" s="1" t="s">
        <v>90</v>
      </c>
      <c r="E15" s="1"/>
      <c r="F15" s="1" t="s">
        <v>91</v>
      </c>
      <c r="G15" s="1" t="s">
        <v>92</v>
      </c>
      <c r="H15" s="1" t="s">
        <v>14</v>
      </c>
      <c r="I15" s="1">
        <v>41905</v>
      </c>
      <c r="J15" t="s">
        <v>24</v>
      </c>
    </row>
    <row r="16" spans="2:10" ht="14.4">
      <c r="B16" s="1" t="s">
        <v>93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14</v>
      </c>
      <c r="I16" s="1">
        <v>63131</v>
      </c>
      <c r="J16" t="s">
        <v>15</v>
      </c>
    </row>
    <row r="17" spans="2:10" ht="14.4">
      <c r="B17" s="1" t="s">
        <v>99</v>
      </c>
      <c r="C17" s="1" t="s">
        <v>100</v>
      </c>
      <c r="D17" s="1" t="s">
        <v>101</v>
      </c>
      <c r="E17" s="1"/>
      <c r="F17" s="1" t="s">
        <v>102</v>
      </c>
      <c r="G17" s="1" t="s">
        <v>103</v>
      </c>
      <c r="H17" s="1" t="s">
        <v>14</v>
      </c>
      <c r="I17" s="1">
        <v>19172</v>
      </c>
      <c r="J17" t="s">
        <v>24</v>
      </c>
    </row>
    <row r="18" spans="2:10" ht="14.4"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108</v>
      </c>
      <c r="G18" s="1" t="s">
        <v>109</v>
      </c>
      <c r="H18" s="1" t="s">
        <v>14</v>
      </c>
      <c r="I18" s="1">
        <v>97271</v>
      </c>
      <c r="J18" t="s">
        <v>24</v>
      </c>
    </row>
    <row r="19" spans="2:10" ht="14.4"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  <c r="H19" s="1" t="s">
        <v>14</v>
      </c>
      <c r="I19" s="1">
        <v>77240</v>
      </c>
      <c r="J19" t="s">
        <v>24</v>
      </c>
    </row>
    <row r="20" spans="2:10" ht="14.4">
      <c r="B20" s="1" t="s">
        <v>116</v>
      </c>
      <c r="C20" s="1" t="s">
        <v>117</v>
      </c>
      <c r="D20" s="1" t="s">
        <v>118</v>
      </c>
      <c r="E20" s="1"/>
      <c r="F20" s="1" t="s">
        <v>119</v>
      </c>
      <c r="G20" s="1" t="s">
        <v>120</v>
      </c>
      <c r="H20" s="1" t="s">
        <v>22</v>
      </c>
      <c r="I20" s="1" t="s">
        <v>121</v>
      </c>
      <c r="J20" t="s">
        <v>15</v>
      </c>
    </row>
    <row r="21" spans="2:10" ht="14.4"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  <c r="H21" s="1" t="s">
        <v>14</v>
      </c>
      <c r="I21" s="1">
        <v>10060</v>
      </c>
      <c r="J21" t="s">
        <v>15</v>
      </c>
    </row>
    <row r="22" spans="2:10" ht="14.4">
      <c r="B22" s="1" t="s">
        <v>128</v>
      </c>
      <c r="C22" s="1" t="s">
        <v>129</v>
      </c>
      <c r="D22" s="1"/>
      <c r="E22" s="1" t="s">
        <v>130</v>
      </c>
      <c r="F22" s="1" t="s">
        <v>131</v>
      </c>
      <c r="G22" s="1" t="s">
        <v>132</v>
      </c>
      <c r="H22" s="1" t="s">
        <v>22</v>
      </c>
      <c r="I22" s="1" t="s">
        <v>133</v>
      </c>
      <c r="J22" t="s">
        <v>15</v>
      </c>
    </row>
    <row r="23" spans="2:10" ht="14.4"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14</v>
      </c>
      <c r="I23" s="1">
        <v>49560</v>
      </c>
      <c r="J23" t="s">
        <v>24</v>
      </c>
    </row>
    <row r="24" spans="2:10" ht="14.4"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145</v>
      </c>
      <c r="H24" s="1" t="s">
        <v>14</v>
      </c>
      <c r="I24" s="1">
        <v>33982</v>
      </c>
      <c r="J24" t="s">
        <v>15</v>
      </c>
    </row>
    <row r="25" spans="2:10" ht="14.4">
      <c r="B25" s="1" t="s">
        <v>146</v>
      </c>
      <c r="C25" s="1" t="s">
        <v>147</v>
      </c>
      <c r="D25" s="1" t="s">
        <v>148</v>
      </c>
      <c r="E25" s="1" t="s">
        <v>149</v>
      </c>
      <c r="F25" s="1" t="s">
        <v>150</v>
      </c>
      <c r="G25" s="1" t="s">
        <v>151</v>
      </c>
      <c r="H25" s="1" t="s">
        <v>14</v>
      </c>
      <c r="I25" s="1">
        <v>98682</v>
      </c>
      <c r="J25" t="s">
        <v>15</v>
      </c>
    </row>
    <row r="26" spans="2:10" ht="14.4">
      <c r="B26" s="1" t="s">
        <v>152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157</v>
      </c>
      <c r="H26" s="1" t="s">
        <v>14</v>
      </c>
      <c r="I26" s="1">
        <v>80150</v>
      </c>
      <c r="J26" t="s">
        <v>24</v>
      </c>
    </row>
    <row r="27" spans="2:10" ht="14.4">
      <c r="B27" s="1" t="s">
        <v>158</v>
      </c>
      <c r="C27" s="1" t="s">
        <v>159</v>
      </c>
      <c r="D27" s="1"/>
      <c r="E27" s="1" t="s">
        <v>160</v>
      </c>
      <c r="F27" s="1" t="s">
        <v>161</v>
      </c>
      <c r="G27" s="1" t="s">
        <v>145</v>
      </c>
      <c r="H27" s="1" t="s">
        <v>14</v>
      </c>
      <c r="I27" s="1">
        <v>33982</v>
      </c>
      <c r="J27" t="s">
        <v>15</v>
      </c>
    </row>
    <row r="28" spans="2:10" ht="14.4"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167</v>
      </c>
      <c r="H28" s="1" t="s">
        <v>14</v>
      </c>
      <c r="I28" s="1">
        <v>94975</v>
      </c>
      <c r="J28" t="s">
        <v>15</v>
      </c>
    </row>
    <row r="29" spans="2:10" ht="14.4">
      <c r="B29" s="1" t="s">
        <v>168</v>
      </c>
      <c r="C29" s="1" t="s">
        <v>169</v>
      </c>
      <c r="D29" s="1" t="s">
        <v>170</v>
      </c>
      <c r="E29" s="1" t="s">
        <v>171</v>
      </c>
      <c r="F29" s="1" t="s">
        <v>172</v>
      </c>
      <c r="G29" s="1" t="s">
        <v>173</v>
      </c>
      <c r="H29" s="1" t="s">
        <v>22</v>
      </c>
      <c r="I29" s="1" t="s">
        <v>174</v>
      </c>
      <c r="J29" t="s">
        <v>24</v>
      </c>
    </row>
    <row r="30" spans="2:10" ht="14.4"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  <c r="G30" s="1" t="s">
        <v>180</v>
      </c>
      <c r="H30" s="1" t="s">
        <v>22</v>
      </c>
      <c r="I30" s="1" t="s">
        <v>181</v>
      </c>
      <c r="J30" t="s">
        <v>24</v>
      </c>
    </row>
    <row r="31" spans="2:10" ht="14.4">
      <c r="B31" s="1" t="s">
        <v>182</v>
      </c>
      <c r="C31" s="1" t="s">
        <v>183</v>
      </c>
      <c r="D31" s="1" t="s">
        <v>184</v>
      </c>
      <c r="E31" s="1" t="s">
        <v>185</v>
      </c>
      <c r="F31" s="1" t="s">
        <v>186</v>
      </c>
      <c r="G31" s="1" t="s">
        <v>187</v>
      </c>
      <c r="H31" s="1" t="s">
        <v>22</v>
      </c>
      <c r="I31" s="1" t="s">
        <v>188</v>
      </c>
      <c r="J31" t="s">
        <v>15</v>
      </c>
    </row>
    <row r="32" spans="2:10" ht="14.4">
      <c r="B32" s="1" t="s">
        <v>189</v>
      </c>
      <c r="C32" s="1" t="s">
        <v>190</v>
      </c>
      <c r="D32" s="1"/>
      <c r="E32" s="1" t="s">
        <v>191</v>
      </c>
      <c r="F32" s="1" t="s">
        <v>192</v>
      </c>
      <c r="G32" s="1" t="s">
        <v>193</v>
      </c>
      <c r="H32" s="1" t="s">
        <v>14</v>
      </c>
      <c r="I32" s="1">
        <v>80044</v>
      </c>
      <c r="J32" t="s">
        <v>24</v>
      </c>
    </row>
    <row r="33" spans="2:10" ht="14.4">
      <c r="B33" s="1" t="s">
        <v>194</v>
      </c>
      <c r="C33" s="1" t="s">
        <v>195</v>
      </c>
      <c r="D33" s="1" t="s">
        <v>196</v>
      </c>
      <c r="E33" s="1" t="s">
        <v>197</v>
      </c>
      <c r="F33" s="1" t="s">
        <v>198</v>
      </c>
      <c r="G33" s="1" t="s">
        <v>199</v>
      </c>
      <c r="H33" s="1" t="s">
        <v>14</v>
      </c>
      <c r="I33" s="1">
        <v>11407</v>
      </c>
      <c r="J33" t="s">
        <v>24</v>
      </c>
    </row>
    <row r="34" spans="2:10" ht="14.4">
      <c r="B34" s="1" t="s">
        <v>200</v>
      </c>
      <c r="C34" s="1" t="s">
        <v>201</v>
      </c>
      <c r="D34" s="1" t="s">
        <v>202</v>
      </c>
      <c r="E34" s="1" t="s">
        <v>203</v>
      </c>
      <c r="F34" s="1" t="s">
        <v>204</v>
      </c>
      <c r="G34" s="1" t="s">
        <v>205</v>
      </c>
      <c r="H34" s="1" t="s">
        <v>22</v>
      </c>
      <c r="I34" s="1" t="s">
        <v>206</v>
      </c>
      <c r="J34" t="s">
        <v>15</v>
      </c>
    </row>
    <row r="35" spans="2:10" ht="14.4">
      <c r="B35" s="1" t="s">
        <v>207</v>
      </c>
      <c r="C35" s="1" t="s">
        <v>208</v>
      </c>
      <c r="D35" s="1" t="s">
        <v>209</v>
      </c>
      <c r="E35" s="1"/>
      <c r="F35" s="1" t="s">
        <v>210</v>
      </c>
      <c r="G35" s="1" t="s">
        <v>211</v>
      </c>
      <c r="H35" s="1" t="s">
        <v>14</v>
      </c>
      <c r="I35" s="1">
        <v>58207</v>
      </c>
      <c r="J35" t="s">
        <v>24</v>
      </c>
    </row>
    <row r="36" spans="2:10" ht="14.4">
      <c r="B36" s="1" t="s">
        <v>212</v>
      </c>
      <c r="C36" s="1" t="s">
        <v>213</v>
      </c>
      <c r="D36" s="1" t="s">
        <v>214</v>
      </c>
      <c r="E36" s="1" t="s">
        <v>215</v>
      </c>
      <c r="F36" s="1" t="s">
        <v>216</v>
      </c>
      <c r="G36" s="1" t="s">
        <v>217</v>
      </c>
      <c r="H36" s="1" t="s">
        <v>218</v>
      </c>
      <c r="I36" s="1" t="s">
        <v>219</v>
      </c>
      <c r="J36" t="s">
        <v>15</v>
      </c>
    </row>
    <row r="37" spans="2:10" ht="14.4">
      <c r="B37" s="1" t="s">
        <v>220</v>
      </c>
      <c r="C37" s="1" t="s">
        <v>221</v>
      </c>
      <c r="D37" s="1" t="s">
        <v>222</v>
      </c>
      <c r="E37" s="1" t="s">
        <v>223</v>
      </c>
      <c r="F37" s="1" t="s">
        <v>224</v>
      </c>
      <c r="G37" s="1" t="s">
        <v>225</v>
      </c>
      <c r="H37" s="1" t="s">
        <v>14</v>
      </c>
      <c r="I37" s="1">
        <v>25362</v>
      </c>
      <c r="J37" t="s">
        <v>24</v>
      </c>
    </row>
    <row r="38" spans="2:10" ht="14.4">
      <c r="B38" s="1" t="s">
        <v>226</v>
      </c>
      <c r="C38" s="1" t="s">
        <v>227</v>
      </c>
      <c r="D38" s="1" t="s">
        <v>228</v>
      </c>
      <c r="E38" s="1" t="s">
        <v>229</v>
      </c>
      <c r="F38" s="1" t="s">
        <v>230</v>
      </c>
      <c r="G38" s="1" t="s">
        <v>231</v>
      </c>
      <c r="H38" s="1" t="s">
        <v>14</v>
      </c>
      <c r="I38" s="1">
        <v>72204</v>
      </c>
      <c r="J38" t="s">
        <v>24</v>
      </c>
    </row>
    <row r="39" spans="2:10" ht="14.4">
      <c r="B39" s="1" t="s">
        <v>232</v>
      </c>
      <c r="C39" s="1" t="s">
        <v>233</v>
      </c>
      <c r="D39" s="1" t="s">
        <v>234</v>
      </c>
      <c r="E39" s="1" t="s">
        <v>235</v>
      </c>
      <c r="F39" s="1" t="s">
        <v>236</v>
      </c>
      <c r="G39" s="1" t="s">
        <v>237</v>
      </c>
      <c r="H39" s="1" t="s">
        <v>14</v>
      </c>
      <c r="I39" s="1">
        <v>80291</v>
      </c>
      <c r="J39" t="s">
        <v>24</v>
      </c>
    </row>
    <row r="40" spans="2:10" ht="14.4">
      <c r="B40" s="1" t="s">
        <v>238</v>
      </c>
      <c r="C40" s="1" t="s">
        <v>239</v>
      </c>
      <c r="D40" s="1" t="s">
        <v>240</v>
      </c>
      <c r="E40" s="1" t="s">
        <v>241</v>
      </c>
      <c r="F40" s="1" t="s">
        <v>242</v>
      </c>
      <c r="G40" s="1" t="s">
        <v>243</v>
      </c>
      <c r="H40" s="1" t="s">
        <v>14</v>
      </c>
      <c r="I40" s="1">
        <v>55458</v>
      </c>
      <c r="J40" t="s">
        <v>24</v>
      </c>
    </row>
    <row r="41" spans="2:10" ht="14.4">
      <c r="B41" s="1" t="s">
        <v>244</v>
      </c>
      <c r="C41" s="1" t="s">
        <v>245</v>
      </c>
      <c r="D41" s="1"/>
      <c r="E41" s="1"/>
      <c r="F41" s="1" t="s">
        <v>246</v>
      </c>
      <c r="G41" s="1" t="s">
        <v>247</v>
      </c>
      <c r="H41" s="1" t="s">
        <v>14</v>
      </c>
      <c r="I41" s="1">
        <v>85715</v>
      </c>
      <c r="J41" t="s">
        <v>15</v>
      </c>
    </row>
    <row r="42" spans="2:10" ht="14.4">
      <c r="B42" s="1" t="s">
        <v>248</v>
      </c>
      <c r="C42" s="1" t="s">
        <v>249</v>
      </c>
      <c r="D42" s="1"/>
      <c r="E42" s="1" t="s">
        <v>250</v>
      </c>
      <c r="F42" s="1" t="s">
        <v>251</v>
      </c>
      <c r="G42" s="1" t="s">
        <v>252</v>
      </c>
      <c r="H42" s="1" t="s">
        <v>14</v>
      </c>
      <c r="I42" s="1">
        <v>70116</v>
      </c>
      <c r="J42" t="s">
        <v>24</v>
      </c>
    </row>
    <row r="43" spans="2:10" ht="14.4">
      <c r="B43" s="1" t="s">
        <v>253</v>
      </c>
      <c r="C43" s="1" t="s">
        <v>254</v>
      </c>
      <c r="D43" s="1" t="s">
        <v>255</v>
      </c>
      <c r="E43" s="1" t="s">
        <v>256</v>
      </c>
      <c r="F43" s="1" t="s">
        <v>257</v>
      </c>
      <c r="G43" s="1" t="s">
        <v>258</v>
      </c>
      <c r="H43" s="1" t="s">
        <v>14</v>
      </c>
      <c r="I43" s="1">
        <v>6183</v>
      </c>
      <c r="J43" t="s">
        <v>15</v>
      </c>
    </row>
    <row r="44" spans="2:10" ht="14.4">
      <c r="B44" s="1" t="s">
        <v>259</v>
      </c>
      <c r="C44" s="1" t="s">
        <v>260</v>
      </c>
      <c r="D44" s="1" t="s">
        <v>261</v>
      </c>
      <c r="E44" s="1" t="s">
        <v>262</v>
      </c>
      <c r="F44" s="1" t="s">
        <v>263</v>
      </c>
      <c r="G44" s="1" t="s">
        <v>264</v>
      </c>
      <c r="H44" s="1" t="s">
        <v>14</v>
      </c>
      <c r="I44" s="1">
        <v>84409</v>
      </c>
      <c r="J44" t="s">
        <v>15</v>
      </c>
    </row>
    <row r="45" spans="2:10" ht="14.4">
      <c r="B45" s="1" t="s">
        <v>265</v>
      </c>
      <c r="C45" s="1" t="s">
        <v>266</v>
      </c>
      <c r="D45" s="1"/>
      <c r="E45" s="1" t="s">
        <v>267</v>
      </c>
      <c r="F45" s="1" t="s">
        <v>268</v>
      </c>
      <c r="G45" s="1" t="s">
        <v>269</v>
      </c>
      <c r="H45" s="1" t="s">
        <v>14</v>
      </c>
      <c r="I45" s="1">
        <v>2216</v>
      </c>
      <c r="J45" t="s">
        <v>24</v>
      </c>
    </row>
    <row r="46" spans="2:10" ht="14.4">
      <c r="B46" s="1" t="s">
        <v>270</v>
      </c>
      <c r="C46" s="1" t="s">
        <v>271</v>
      </c>
      <c r="D46" s="1" t="s">
        <v>272</v>
      </c>
      <c r="E46" s="1" t="s">
        <v>273</v>
      </c>
      <c r="F46" s="1" t="s">
        <v>274</v>
      </c>
      <c r="G46" s="1" t="s">
        <v>275</v>
      </c>
      <c r="H46" s="1" t="s">
        <v>14</v>
      </c>
      <c r="I46" s="1">
        <v>14604</v>
      </c>
      <c r="J46" t="s">
        <v>15</v>
      </c>
    </row>
    <row r="47" spans="2:10" ht="14.4"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 t="s">
        <v>281</v>
      </c>
      <c r="H47" s="1" t="s">
        <v>14</v>
      </c>
      <c r="I47" s="1">
        <v>10469</v>
      </c>
      <c r="J47" t="s">
        <v>24</v>
      </c>
    </row>
    <row r="48" spans="2:10" ht="14.4">
      <c r="B48" s="1" t="s">
        <v>282</v>
      </c>
      <c r="C48" s="1" t="s">
        <v>283</v>
      </c>
      <c r="D48" s="1"/>
      <c r="E48" s="1" t="s">
        <v>284</v>
      </c>
      <c r="F48" s="1" t="s">
        <v>285</v>
      </c>
      <c r="G48" s="1" t="s">
        <v>286</v>
      </c>
      <c r="H48" s="1" t="s">
        <v>14</v>
      </c>
      <c r="I48" s="1">
        <v>35205</v>
      </c>
      <c r="J48" t="s">
        <v>15</v>
      </c>
    </row>
    <row r="49" spans="2:10" ht="14.4">
      <c r="B49" s="1" t="s">
        <v>287</v>
      </c>
      <c r="C49" s="1" t="s">
        <v>288</v>
      </c>
      <c r="D49" s="1" t="s">
        <v>289</v>
      </c>
      <c r="E49" s="1" t="s">
        <v>290</v>
      </c>
      <c r="F49" s="1" t="s">
        <v>291</v>
      </c>
      <c r="G49" s="1" t="s">
        <v>292</v>
      </c>
      <c r="H49" s="1" t="s">
        <v>14</v>
      </c>
      <c r="I49" s="1">
        <v>92415</v>
      </c>
      <c r="J49" t="s">
        <v>15</v>
      </c>
    </row>
    <row r="50" spans="2:10" ht="14.4">
      <c r="B50" s="1" t="s">
        <v>293</v>
      </c>
      <c r="C50" s="1" t="s">
        <v>294</v>
      </c>
      <c r="D50" s="1" t="s">
        <v>295</v>
      </c>
      <c r="E50" s="1"/>
      <c r="F50" s="1" t="s">
        <v>296</v>
      </c>
      <c r="G50" s="1" t="s">
        <v>297</v>
      </c>
      <c r="H50" s="1" t="s">
        <v>14</v>
      </c>
      <c r="I50" s="1">
        <v>23514</v>
      </c>
      <c r="J50" t="s">
        <v>24</v>
      </c>
    </row>
    <row r="51" spans="2:10" ht="14.4">
      <c r="B51" s="1" t="s">
        <v>298</v>
      </c>
      <c r="C51" s="1" t="s">
        <v>299</v>
      </c>
      <c r="D51" s="1" t="s">
        <v>300</v>
      </c>
      <c r="E51" s="1" t="s">
        <v>301</v>
      </c>
      <c r="F51" s="1" t="s">
        <v>302</v>
      </c>
      <c r="G51" s="1" t="s">
        <v>303</v>
      </c>
      <c r="H51" s="1" t="s">
        <v>14</v>
      </c>
      <c r="I51" s="1">
        <v>20409</v>
      </c>
      <c r="J51" t="s">
        <v>24</v>
      </c>
    </row>
    <row r="52" spans="2:10" ht="14.4">
      <c r="B52" s="1" t="s">
        <v>304</v>
      </c>
      <c r="C52" s="1" t="s">
        <v>305</v>
      </c>
      <c r="D52" s="1" t="s">
        <v>306</v>
      </c>
      <c r="E52" s="1" t="s">
        <v>307</v>
      </c>
      <c r="F52" s="1" t="s">
        <v>308</v>
      </c>
      <c r="G52" s="1" t="s">
        <v>309</v>
      </c>
      <c r="H52" s="1" t="s">
        <v>14</v>
      </c>
      <c r="I52" s="1">
        <v>33355</v>
      </c>
      <c r="J52" t="s">
        <v>24</v>
      </c>
    </row>
    <row r="53" spans="2:10" ht="14.4">
      <c r="B53" s="1" t="s">
        <v>310</v>
      </c>
      <c r="C53" s="1" t="s">
        <v>311</v>
      </c>
      <c r="D53" s="1" t="s">
        <v>312</v>
      </c>
      <c r="E53" s="1" t="s">
        <v>313</v>
      </c>
      <c r="F53" s="1" t="s">
        <v>314</v>
      </c>
      <c r="G53" s="1" t="s">
        <v>21</v>
      </c>
      <c r="H53" s="1" t="s">
        <v>22</v>
      </c>
      <c r="I53" s="1" t="s">
        <v>23</v>
      </c>
      <c r="J53" t="s">
        <v>15</v>
      </c>
    </row>
    <row r="54" spans="2:10" ht="14.4">
      <c r="B54" s="1" t="s">
        <v>315</v>
      </c>
      <c r="C54" s="1" t="s">
        <v>316</v>
      </c>
      <c r="D54" s="1" t="s">
        <v>317</v>
      </c>
      <c r="E54" s="1"/>
      <c r="F54" s="1" t="s">
        <v>318</v>
      </c>
      <c r="G54" s="1" t="s">
        <v>319</v>
      </c>
      <c r="H54" s="1" t="s">
        <v>218</v>
      </c>
      <c r="I54" s="1" t="s">
        <v>320</v>
      </c>
      <c r="J54" t="s">
        <v>24</v>
      </c>
    </row>
    <row r="55" spans="2:10" ht="14.4">
      <c r="B55" s="1" t="s">
        <v>321</v>
      </c>
      <c r="C55" s="1" t="s">
        <v>322</v>
      </c>
      <c r="D55" s="1" t="s">
        <v>323</v>
      </c>
      <c r="E55" s="1" t="s">
        <v>324</v>
      </c>
      <c r="F55" s="1" t="s">
        <v>325</v>
      </c>
      <c r="G55" s="1" t="s">
        <v>326</v>
      </c>
      <c r="H55" s="1" t="s">
        <v>14</v>
      </c>
      <c r="I55" s="1">
        <v>84605</v>
      </c>
      <c r="J55" t="s">
        <v>24</v>
      </c>
    </row>
    <row r="56" spans="2:10" ht="14.4">
      <c r="B56" s="1" t="s">
        <v>327</v>
      </c>
      <c r="C56" s="1" t="s">
        <v>328</v>
      </c>
      <c r="D56" s="1" t="s">
        <v>329</v>
      </c>
      <c r="E56" s="1" t="s">
        <v>330</v>
      </c>
      <c r="F56" s="1" t="s">
        <v>331</v>
      </c>
      <c r="G56" s="1" t="s">
        <v>332</v>
      </c>
      <c r="H56" s="1" t="s">
        <v>14</v>
      </c>
      <c r="I56" s="1">
        <v>43666</v>
      </c>
      <c r="J56" t="s">
        <v>24</v>
      </c>
    </row>
    <row r="57" spans="2:10" ht="14.4">
      <c r="B57" s="1" t="s">
        <v>333</v>
      </c>
      <c r="C57" s="1" t="s">
        <v>334</v>
      </c>
      <c r="D57" s="1"/>
      <c r="E57" s="1" t="s">
        <v>335</v>
      </c>
      <c r="F57" s="1" t="s">
        <v>336</v>
      </c>
      <c r="G57" s="1" t="s">
        <v>337</v>
      </c>
      <c r="H57" s="1" t="s">
        <v>14</v>
      </c>
      <c r="I57" s="1">
        <v>8650</v>
      </c>
      <c r="J57" t="s">
        <v>24</v>
      </c>
    </row>
    <row r="58" spans="2:10" ht="14.4">
      <c r="B58" s="1" t="s">
        <v>338</v>
      </c>
      <c r="C58" s="1" t="s">
        <v>339</v>
      </c>
      <c r="D58" s="1" t="s">
        <v>340</v>
      </c>
      <c r="E58" s="1" t="s">
        <v>341</v>
      </c>
      <c r="F58" s="1" t="s">
        <v>342</v>
      </c>
      <c r="G58" s="1" t="s">
        <v>343</v>
      </c>
      <c r="H58" s="1" t="s">
        <v>14</v>
      </c>
      <c r="I58" s="1">
        <v>33686</v>
      </c>
      <c r="J58" t="s">
        <v>15</v>
      </c>
    </row>
    <row r="59" spans="2:10" ht="14.4">
      <c r="B59" s="1" t="s">
        <v>344</v>
      </c>
      <c r="C59" s="1" t="s">
        <v>345</v>
      </c>
      <c r="D59" s="1" t="s">
        <v>346</v>
      </c>
      <c r="E59" s="1" t="s">
        <v>347</v>
      </c>
      <c r="F59" s="1" t="s">
        <v>348</v>
      </c>
      <c r="G59" s="1" t="s">
        <v>349</v>
      </c>
      <c r="H59" s="1" t="s">
        <v>14</v>
      </c>
      <c r="I59" s="1">
        <v>32590</v>
      </c>
      <c r="J59" t="s">
        <v>24</v>
      </c>
    </row>
    <row r="60" spans="2:10" ht="14.4">
      <c r="B60" s="1" t="s">
        <v>350</v>
      </c>
      <c r="C60" s="1" t="s">
        <v>351</v>
      </c>
      <c r="D60" s="1"/>
      <c r="E60" s="1" t="s">
        <v>352</v>
      </c>
      <c r="F60" s="1" t="s">
        <v>353</v>
      </c>
      <c r="G60" s="1" t="s">
        <v>354</v>
      </c>
      <c r="H60" s="1" t="s">
        <v>14</v>
      </c>
      <c r="I60" s="1">
        <v>33543</v>
      </c>
      <c r="J60" t="s">
        <v>15</v>
      </c>
    </row>
    <row r="61" spans="2:10" ht="14.4">
      <c r="B61" s="1" t="s">
        <v>355</v>
      </c>
      <c r="C61" s="1" t="s">
        <v>356</v>
      </c>
      <c r="D61" s="1" t="s">
        <v>357</v>
      </c>
      <c r="E61" s="1"/>
      <c r="F61" s="1" t="s">
        <v>358</v>
      </c>
      <c r="G61" s="1" t="s">
        <v>359</v>
      </c>
      <c r="H61" s="1" t="s">
        <v>14</v>
      </c>
      <c r="I61" s="1">
        <v>55123</v>
      </c>
      <c r="J61" t="s">
        <v>15</v>
      </c>
    </row>
    <row r="62" spans="2:10" ht="14.4">
      <c r="B62" s="1" t="s">
        <v>360</v>
      </c>
      <c r="C62" s="1" t="s">
        <v>361</v>
      </c>
      <c r="D62" s="1" t="s">
        <v>362</v>
      </c>
      <c r="E62" s="1" t="s">
        <v>363</v>
      </c>
      <c r="F62" s="1" t="s">
        <v>364</v>
      </c>
      <c r="G62" s="1" t="s">
        <v>365</v>
      </c>
      <c r="H62" s="1" t="s">
        <v>14</v>
      </c>
      <c r="I62" s="1">
        <v>46862</v>
      </c>
      <c r="J62" t="s">
        <v>24</v>
      </c>
    </row>
    <row r="63" spans="2:10" ht="14.4">
      <c r="B63" s="1" t="s">
        <v>366</v>
      </c>
      <c r="C63" s="1" t="s">
        <v>367</v>
      </c>
      <c r="D63" s="1"/>
      <c r="E63" s="1" t="s">
        <v>368</v>
      </c>
      <c r="F63" s="1" t="s">
        <v>369</v>
      </c>
      <c r="G63" s="1" t="s">
        <v>370</v>
      </c>
      <c r="H63" s="1" t="s">
        <v>218</v>
      </c>
      <c r="I63" s="1" t="s">
        <v>371</v>
      </c>
      <c r="J63" t="s">
        <v>15</v>
      </c>
    </row>
    <row r="64" spans="2:10" ht="14.4">
      <c r="B64" s="1" t="s">
        <v>372</v>
      </c>
      <c r="C64" s="1" t="s">
        <v>373</v>
      </c>
      <c r="D64" s="1"/>
      <c r="E64" s="1" t="s">
        <v>374</v>
      </c>
      <c r="F64" s="1" t="s">
        <v>375</v>
      </c>
      <c r="G64" s="1" t="s">
        <v>376</v>
      </c>
      <c r="H64" s="1" t="s">
        <v>14</v>
      </c>
      <c r="I64" s="1">
        <v>34114</v>
      </c>
      <c r="J64" t="s">
        <v>15</v>
      </c>
    </row>
    <row r="65" spans="2:10" ht="14.4">
      <c r="B65" s="1" t="s">
        <v>377</v>
      </c>
      <c r="C65" s="1" t="s">
        <v>378</v>
      </c>
      <c r="D65" s="1" t="s">
        <v>379</v>
      </c>
      <c r="E65" s="1" t="s">
        <v>380</v>
      </c>
      <c r="F65" s="1" t="s">
        <v>381</v>
      </c>
      <c r="G65" s="1" t="s">
        <v>382</v>
      </c>
      <c r="H65" s="1" t="s">
        <v>14</v>
      </c>
      <c r="I65" s="1">
        <v>60681</v>
      </c>
      <c r="J65" t="s">
        <v>24</v>
      </c>
    </row>
    <row r="66" spans="2:10" ht="14.4">
      <c r="B66" s="1" t="s">
        <v>383</v>
      </c>
      <c r="C66" s="1" t="s">
        <v>384</v>
      </c>
      <c r="D66" s="1"/>
      <c r="E66" s="1" t="s">
        <v>385</v>
      </c>
      <c r="F66" s="1" t="s">
        <v>386</v>
      </c>
      <c r="G66" s="1" t="s">
        <v>387</v>
      </c>
      <c r="H66" s="1" t="s">
        <v>14</v>
      </c>
      <c r="I66" s="1">
        <v>7104</v>
      </c>
      <c r="J66" t="s">
        <v>15</v>
      </c>
    </row>
    <row r="67" spans="2:10" ht="14.4">
      <c r="B67" s="1" t="s">
        <v>388</v>
      </c>
      <c r="C67" s="1" t="s">
        <v>389</v>
      </c>
      <c r="D67" s="1" t="s">
        <v>390</v>
      </c>
      <c r="E67" s="1" t="s">
        <v>391</v>
      </c>
      <c r="F67" s="1" t="s">
        <v>392</v>
      </c>
      <c r="G67" s="1" t="s">
        <v>393</v>
      </c>
      <c r="H67" s="1" t="s">
        <v>14</v>
      </c>
      <c r="I67" s="1">
        <v>22184</v>
      </c>
      <c r="J67" t="s">
        <v>15</v>
      </c>
    </row>
    <row r="68" spans="2:10" ht="14.4">
      <c r="B68" s="1" t="s">
        <v>394</v>
      </c>
      <c r="C68" s="1" t="s">
        <v>395</v>
      </c>
      <c r="D68" s="1" t="s">
        <v>396</v>
      </c>
      <c r="E68" s="1" t="s">
        <v>397</v>
      </c>
      <c r="F68" s="1" t="s">
        <v>398</v>
      </c>
      <c r="G68" s="1" t="s">
        <v>399</v>
      </c>
      <c r="H68" s="1" t="s">
        <v>14</v>
      </c>
      <c r="I68" s="1">
        <v>76178</v>
      </c>
      <c r="J68" t="s">
        <v>15</v>
      </c>
    </row>
    <row r="69" spans="2:10" ht="14.4">
      <c r="B69" s="1" t="s">
        <v>400</v>
      </c>
      <c r="C69" s="1" t="s">
        <v>401</v>
      </c>
      <c r="D69" s="1" t="s">
        <v>402</v>
      </c>
      <c r="E69" s="1" t="s">
        <v>403</v>
      </c>
      <c r="F69" s="1" t="s">
        <v>404</v>
      </c>
      <c r="G69" s="1" t="s">
        <v>405</v>
      </c>
      <c r="H69" s="1" t="s">
        <v>14</v>
      </c>
      <c r="I69" s="1">
        <v>91505</v>
      </c>
      <c r="J69" t="s">
        <v>24</v>
      </c>
    </row>
    <row r="70" spans="2:10" ht="14.4">
      <c r="B70" s="1" t="s">
        <v>406</v>
      </c>
      <c r="C70" s="1" t="s">
        <v>407</v>
      </c>
      <c r="D70" s="1" t="s">
        <v>408</v>
      </c>
      <c r="E70" s="1" t="s">
        <v>409</v>
      </c>
      <c r="F70" s="1" t="s">
        <v>410</v>
      </c>
      <c r="G70" s="1" t="s">
        <v>411</v>
      </c>
      <c r="H70" s="1" t="s">
        <v>14</v>
      </c>
      <c r="I70" s="1">
        <v>37665</v>
      </c>
      <c r="J70" t="s">
        <v>24</v>
      </c>
    </row>
    <row r="71" spans="2:10" ht="14.4">
      <c r="B71" s="1" t="s">
        <v>412</v>
      </c>
      <c r="C71" s="1" t="s">
        <v>413</v>
      </c>
      <c r="D71" s="1" t="s">
        <v>414</v>
      </c>
      <c r="E71" s="1" t="s">
        <v>415</v>
      </c>
      <c r="F71" s="1" t="s">
        <v>416</v>
      </c>
      <c r="G71" s="1" t="s">
        <v>417</v>
      </c>
      <c r="H71" s="1" t="s">
        <v>218</v>
      </c>
      <c r="I71" s="1" t="s">
        <v>418</v>
      </c>
      <c r="J71" t="s">
        <v>15</v>
      </c>
    </row>
    <row r="72" spans="2:10" ht="14.4">
      <c r="B72" s="1" t="s">
        <v>419</v>
      </c>
      <c r="C72" s="1" t="s">
        <v>420</v>
      </c>
      <c r="D72" s="1" t="s">
        <v>421</v>
      </c>
      <c r="E72" s="1" t="s">
        <v>422</v>
      </c>
      <c r="F72" s="1" t="s">
        <v>423</v>
      </c>
      <c r="G72" s="1" t="s">
        <v>424</v>
      </c>
      <c r="H72" s="1" t="s">
        <v>14</v>
      </c>
      <c r="I72" s="1">
        <v>43231</v>
      </c>
      <c r="J72" t="s">
        <v>24</v>
      </c>
    </row>
    <row r="73" spans="2:10" ht="14.4">
      <c r="B73" s="1" t="s">
        <v>425</v>
      </c>
      <c r="C73" s="1" t="s">
        <v>426</v>
      </c>
      <c r="D73" s="1" t="s">
        <v>427</v>
      </c>
      <c r="E73" s="1" t="s">
        <v>428</v>
      </c>
      <c r="F73" s="1" t="s">
        <v>429</v>
      </c>
      <c r="G73" s="1" t="s">
        <v>430</v>
      </c>
      <c r="H73" s="1" t="s">
        <v>22</v>
      </c>
      <c r="I73" s="1" t="s">
        <v>431</v>
      </c>
      <c r="J73" t="s">
        <v>24</v>
      </c>
    </row>
    <row r="74" spans="2:10" ht="14.4">
      <c r="B74" s="1" t="s">
        <v>432</v>
      </c>
      <c r="C74" s="1" t="s">
        <v>433</v>
      </c>
      <c r="D74" s="1"/>
      <c r="E74" s="1" t="s">
        <v>434</v>
      </c>
      <c r="F74" s="1" t="s">
        <v>435</v>
      </c>
      <c r="G74" s="1" t="s">
        <v>252</v>
      </c>
      <c r="H74" s="1" t="s">
        <v>14</v>
      </c>
      <c r="I74" s="1">
        <v>70183</v>
      </c>
      <c r="J74" t="s">
        <v>24</v>
      </c>
    </row>
    <row r="75" spans="2:10" ht="14.4">
      <c r="B75" s="1" t="s">
        <v>436</v>
      </c>
      <c r="C75" s="1" t="s">
        <v>437</v>
      </c>
      <c r="D75" s="1"/>
      <c r="E75" s="1" t="s">
        <v>438</v>
      </c>
      <c r="F75" s="1" t="s">
        <v>439</v>
      </c>
      <c r="G75" s="1" t="s">
        <v>440</v>
      </c>
      <c r="H75" s="1" t="s">
        <v>14</v>
      </c>
      <c r="I75" s="1">
        <v>28230</v>
      </c>
      <c r="J75" t="s">
        <v>15</v>
      </c>
    </row>
    <row r="76" spans="2:10" ht="14.4">
      <c r="B76" s="1" t="s">
        <v>441</v>
      </c>
      <c r="C76" s="1" t="s">
        <v>442</v>
      </c>
      <c r="D76" s="1" t="s">
        <v>443</v>
      </c>
      <c r="E76" s="1" t="s">
        <v>444</v>
      </c>
      <c r="F76" s="1" t="s">
        <v>445</v>
      </c>
      <c r="G76" s="1" t="s">
        <v>36</v>
      </c>
      <c r="H76" s="1" t="s">
        <v>14</v>
      </c>
      <c r="I76" s="1">
        <v>1114</v>
      </c>
      <c r="J76" t="s">
        <v>15</v>
      </c>
    </row>
    <row r="77" spans="2:10" ht="14.4">
      <c r="B77" s="1" t="s">
        <v>446</v>
      </c>
      <c r="C77" s="1" t="s">
        <v>447</v>
      </c>
      <c r="D77" s="1" t="s">
        <v>448</v>
      </c>
      <c r="E77" s="1" t="s">
        <v>449</v>
      </c>
      <c r="F77" s="1" t="s">
        <v>450</v>
      </c>
      <c r="G77" s="1" t="s">
        <v>451</v>
      </c>
      <c r="H77" s="1" t="s">
        <v>22</v>
      </c>
      <c r="I77" s="1" t="s">
        <v>452</v>
      </c>
      <c r="J77" t="s">
        <v>15</v>
      </c>
    </row>
    <row r="78" spans="2:10" ht="14.4">
      <c r="B78" s="1" t="s">
        <v>453</v>
      </c>
      <c r="C78" s="1" t="s">
        <v>454</v>
      </c>
      <c r="D78" s="1"/>
      <c r="E78" s="1" t="s">
        <v>455</v>
      </c>
      <c r="F78" s="1" t="s">
        <v>456</v>
      </c>
      <c r="G78" s="1" t="s">
        <v>457</v>
      </c>
      <c r="H78" s="1" t="s">
        <v>22</v>
      </c>
      <c r="I78" s="1" t="s">
        <v>458</v>
      </c>
      <c r="J78" t="s">
        <v>15</v>
      </c>
    </row>
    <row r="79" spans="2:10" ht="14.4">
      <c r="B79" s="1" t="s">
        <v>459</v>
      </c>
      <c r="C79" s="1" t="s">
        <v>460</v>
      </c>
      <c r="D79" s="1" t="s">
        <v>461</v>
      </c>
      <c r="E79" s="1" t="s">
        <v>462</v>
      </c>
      <c r="F79" s="1" t="s">
        <v>463</v>
      </c>
      <c r="G79" s="1" t="s">
        <v>464</v>
      </c>
      <c r="H79" s="1" t="s">
        <v>14</v>
      </c>
      <c r="I79" s="1">
        <v>79705</v>
      </c>
      <c r="J79" t="s">
        <v>24</v>
      </c>
    </row>
    <row r="80" spans="2:10" ht="14.4">
      <c r="B80" s="1" t="s">
        <v>465</v>
      </c>
      <c r="C80" s="1" t="s">
        <v>466</v>
      </c>
      <c r="D80" s="1" t="s">
        <v>467</v>
      </c>
      <c r="E80" s="1" t="s">
        <v>468</v>
      </c>
      <c r="F80" s="1" t="s">
        <v>469</v>
      </c>
      <c r="G80" s="1" t="s">
        <v>470</v>
      </c>
      <c r="H80" s="1" t="s">
        <v>14</v>
      </c>
      <c r="I80" s="1">
        <v>75323</v>
      </c>
      <c r="J80" t="s">
        <v>15</v>
      </c>
    </row>
    <row r="81" spans="2:10" ht="14.4">
      <c r="B81" s="1" t="s">
        <v>471</v>
      </c>
      <c r="C81" s="1" t="s">
        <v>472</v>
      </c>
      <c r="D81" s="1" t="s">
        <v>473</v>
      </c>
      <c r="E81" s="1" t="s">
        <v>474</v>
      </c>
      <c r="F81" s="1" t="s">
        <v>475</v>
      </c>
      <c r="G81" s="1" t="s">
        <v>476</v>
      </c>
      <c r="H81" s="1" t="s">
        <v>14</v>
      </c>
      <c r="I81" s="1">
        <v>20189</v>
      </c>
      <c r="J81" t="s">
        <v>24</v>
      </c>
    </row>
    <row r="82" spans="2:10" ht="14.4">
      <c r="B82" s="1" t="s">
        <v>477</v>
      </c>
      <c r="C82" s="1" t="s">
        <v>478</v>
      </c>
      <c r="D82" s="1" t="s">
        <v>479</v>
      </c>
      <c r="E82" s="1" t="s">
        <v>480</v>
      </c>
      <c r="F82" s="1" t="s">
        <v>481</v>
      </c>
      <c r="G82" s="1" t="s">
        <v>482</v>
      </c>
      <c r="H82" s="1" t="s">
        <v>14</v>
      </c>
      <c r="I82" s="1">
        <v>94627</v>
      </c>
      <c r="J82" t="s">
        <v>15</v>
      </c>
    </row>
    <row r="83" spans="2:10" ht="14.4">
      <c r="B83" s="1" t="s">
        <v>483</v>
      </c>
      <c r="C83" s="1" t="s">
        <v>484</v>
      </c>
      <c r="D83" s="1" t="s">
        <v>485</v>
      </c>
      <c r="E83" s="1" t="s">
        <v>486</v>
      </c>
      <c r="F83" s="1" t="s">
        <v>487</v>
      </c>
      <c r="G83" s="1" t="s">
        <v>488</v>
      </c>
      <c r="H83" s="1" t="s">
        <v>14</v>
      </c>
      <c r="I83" s="1">
        <v>80930</v>
      </c>
      <c r="J83" t="s">
        <v>15</v>
      </c>
    </row>
    <row r="84" spans="2:10" ht="14.4">
      <c r="B84" s="1" t="s">
        <v>489</v>
      </c>
      <c r="C84" s="1" t="s">
        <v>490</v>
      </c>
      <c r="D84" s="1" t="s">
        <v>491</v>
      </c>
      <c r="E84" s="1" t="s">
        <v>492</v>
      </c>
      <c r="F84" s="1" t="s">
        <v>493</v>
      </c>
      <c r="G84" s="1" t="s">
        <v>494</v>
      </c>
      <c r="H84" s="1" t="s">
        <v>22</v>
      </c>
      <c r="I84" s="1" t="s">
        <v>495</v>
      </c>
      <c r="J84" t="s">
        <v>15</v>
      </c>
    </row>
    <row r="85" spans="2:10" ht="14.4">
      <c r="B85" s="1" t="s">
        <v>496</v>
      </c>
      <c r="C85" s="1" t="s">
        <v>497</v>
      </c>
      <c r="D85" s="1"/>
      <c r="E85" s="1" t="s">
        <v>498</v>
      </c>
      <c r="F85" s="1" t="s">
        <v>499</v>
      </c>
      <c r="G85" s="1" t="s">
        <v>500</v>
      </c>
      <c r="H85" s="1" t="s">
        <v>14</v>
      </c>
      <c r="I85" s="1">
        <v>14205</v>
      </c>
      <c r="J85" t="s">
        <v>15</v>
      </c>
    </row>
    <row r="86" spans="2:10" ht="14.4">
      <c r="B86" s="1" t="s">
        <v>501</v>
      </c>
      <c r="C86" s="1" t="s">
        <v>502</v>
      </c>
      <c r="D86" s="1" t="s">
        <v>503</v>
      </c>
      <c r="E86" s="1" t="s">
        <v>504</v>
      </c>
      <c r="F86" s="1" t="s">
        <v>505</v>
      </c>
      <c r="G86" s="1" t="s">
        <v>506</v>
      </c>
      <c r="H86" s="1" t="s">
        <v>14</v>
      </c>
      <c r="I86" s="1">
        <v>93715</v>
      </c>
      <c r="J86" t="s">
        <v>24</v>
      </c>
    </row>
    <row r="87" spans="2:10" ht="14.4">
      <c r="B87" s="1" t="s">
        <v>507</v>
      </c>
      <c r="C87" s="1" t="s">
        <v>508</v>
      </c>
      <c r="D87" s="1" t="s">
        <v>509</v>
      </c>
      <c r="E87" s="1"/>
      <c r="F87" s="1" t="s">
        <v>510</v>
      </c>
      <c r="G87" s="1" t="s">
        <v>399</v>
      </c>
      <c r="H87" s="1" t="s">
        <v>14</v>
      </c>
      <c r="I87" s="1">
        <v>76121</v>
      </c>
      <c r="J87" t="s">
        <v>24</v>
      </c>
    </row>
    <row r="88" spans="2:10" ht="14.4">
      <c r="B88" s="1" t="s">
        <v>511</v>
      </c>
      <c r="C88" s="1" t="s">
        <v>512</v>
      </c>
      <c r="D88" s="1" t="s">
        <v>513</v>
      </c>
      <c r="E88" s="1"/>
      <c r="F88" s="1" t="s">
        <v>514</v>
      </c>
      <c r="G88" s="1" t="s">
        <v>515</v>
      </c>
      <c r="H88" s="1" t="s">
        <v>14</v>
      </c>
      <c r="I88" s="1">
        <v>73179</v>
      </c>
      <c r="J88" t="s">
        <v>15</v>
      </c>
    </row>
    <row r="89" spans="2:10" ht="14.4">
      <c r="B89" s="1" t="s">
        <v>516</v>
      </c>
      <c r="C89" s="1" t="s">
        <v>517</v>
      </c>
      <c r="D89" s="1" t="s">
        <v>518</v>
      </c>
      <c r="E89" s="1"/>
      <c r="F89" s="1" t="s">
        <v>519</v>
      </c>
      <c r="G89" s="1" t="s">
        <v>520</v>
      </c>
      <c r="H89" s="1" t="s">
        <v>14</v>
      </c>
      <c r="I89" s="1">
        <v>77705</v>
      </c>
      <c r="J89" t="s">
        <v>24</v>
      </c>
    </row>
    <row r="90" spans="2:10" ht="14.4">
      <c r="B90" s="1" t="s">
        <v>521</v>
      </c>
      <c r="C90" s="1" t="s">
        <v>522</v>
      </c>
      <c r="D90" s="1" t="s">
        <v>523</v>
      </c>
      <c r="E90" s="1"/>
      <c r="F90" s="1" t="s">
        <v>524</v>
      </c>
      <c r="G90" s="1" t="s">
        <v>525</v>
      </c>
      <c r="H90" s="1" t="s">
        <v>14</v>
      </c>
      <c r="I90" s="1">
        <v>89519</v>
      </c>
      <c r="J90" t="s">
        <v>24</v>
      </c>
    </row>
    <row r="91" spans="2:10" ht="14.4">
      <c r="B91" s="1" t="s">
        <v>526</v>
      </c>
      <c r="C91" s="1" t="s">
        <v>527</v>
      </c>
      <c r="D91" s="1" t="s">
        <v>528</v>
      </c>
      <c r="E91" s="1" t="s">
        <v>529</v>
      </c>
      <c r="F91" s="1" t="s">
        <v>530</v>
      </c>
      <c r="G91" s="1" t="s">
        <v>531</v>
      </c>
      <c r="H91" s="1" t="s">
        <v>14</v>
      </c>
      <c r="I91" s="1">
        <v>64136</v>
      </c>
      <c r="J91" t="s">
        <v>24</v>
      </c>
    </row>
    <row r="92" spans="2:10" ht="14.4">
      <c r="B92" s="1" t="s">
        <v>532</v>
      </c>
      <c r="C92" s="1" t="s">
        <v>533</v>
      </c>
      <c r="D92" s="1"/>
      <c r="E92" s="1" t="s">
        <v>534</v>
      </c>
      <c r="F92" s="1" t="s">
        <v>535</v>
      </c>
      <c r="G92" s="1" t="s">
        <v>21</v>
      </c>
      <c r="H92" s="1" t="s">
        <v>22</v>
      </c>
      <c r="I92" s="1" t="s">
        <v>23</v>
      </c>
      <c r="J92" t="s">
        <v>15</v>
      </c>
    </row>
    <row r="93" spans="2:10" ht="14.4">
      <c r="B93" s="1" t="s">
        <v>536</v>
      </c>
      <c r="C93" s="1" t="s">
        <v>537</v>
      </c>
      <c r="D93" s="1" t="s">
        <v>538</v>
      </c>
      <c r="E93" s="1" t="s">
        <v>539</v>
      </c>
      <c r="F93" s="1" t="s">
        <v>540</v>
      </c>
      <c r="G93" s="1" t="s">
        <v>541</v>
      </c>
      <c r="H93" s="1" t="s">
        <v>14</v>
      </c>
      <c r="I93" s="1">
        <v>92878</v>
      </c>
      <c r="J93" t="s">
        <v>24</v>
      </c>
    </row>
    <row r="94" spans="2:10" ht="14.4">
      <c r="B94" s="1" t="s">
        <v>542</v>
      </c>
      <c r="C94" s="1" t="s">
        <v>543</v>
      </c>
      <c r="D94" s="1"/>
      <c r="E94" s="1" t="s">
        <v>544</v>
      </c>
      <c r="F94" s="1" t="s">
        <v>545</v>
      </c>
      <c r="G94" s="1" t="s">
        <v>546</v>
      </c>
      <c r="H94" s="1" t="s">
        <v>14</v>
      </c>
      <c r="I94" s="1">
        <v>78759</v>
      </c>
      <c r="J94" t="s">
        <v>15</v>
      </c>
    </row>
    <row r="95" spans="2:10" ht="14.4">
      <c r="B95" s="1" t="s">
        <v>547</v>
      </c>
      <c r="C95" s="1" t="s">
        <v>548</v>
      </c>
      <c r="D95" s="1" t="s">
        <v>549</v>
      </c>
      <c r="E95" s="1" t="s">
        <v>550</v>
      </c>
      <c r="F95" s="1" t="s">
        <v>551</v>
      </c>
      <c r="G95" s="1" t="s">
        <v>552</v>
      </c>
      <c r="H95" s="1" t="s">
        <v>218</v>
      </c>
      <c r="I95" s="1" t="s">
        <v>553</v>
      </c>
      <c r="J95" t="s">
        <v>15</v>
      </c>
    </row>
    <row r="96" spans="2:10" ht="14.4">
      <c r="B96" s="1" t="s">
        <v>554</v>
      </c>
      <c r="C96" s="1" t="s">
        <v>555</v>
      </c>
      <c r="D96" s="1"/>
      <c r="E96" s="1"/>
      <c r="F96" s="1" t="s">
        <v>556</v>
      </c>
      <c r="G96" s="1" t="s">
        <v>557</v>
      </c>
      <c r="H96" s="1" t="s">
        <v>22</v>
      </c>
      <c r="I96" s="1" t="s">
        <v>558</v>
      </c>
      <c r="J96" t="s">
        <v>15</v>
      </c>
    </row>
    <row r="97" spans="2:10" ht="14.4">
      <c r="B97" s="1" t="s">
        <v>559</v>
      </c>
      <c r="C97" s="1" t="s">
        <v>560</v>
      </c>
      <c r="D97" s="1" t="s">
        <v>561</v>
      </c>
      <c r="E97" s="1"/>
      <c r="F97" s="1" t="s">
        <v>562</v>
      </c>
      <c r="G97" s="1" t="s">
        <v>506</v>
      </c>
      <c r="H97" s="1" t="s">
        <v>14</v>
      </c>
      <c r="I97" s="1">
        <v>93762</v>
      </c>
      <c r="J97" t="s">
        <v>24</v>
      </c>
    </row>
    <row r="98" spans="2:10" ht="14.4">
      <c r="B98" s="1" t="s">
        <v>563</v>
      </c>
      <c r="C98" s="1" t="s">
        <v>564</v>
      </c>
      <c r="D98" s="1" t="s">
        <v>565</v>
      </c>
      <c r="E98" s="1"/>
      <c r="F98" s="1" t="s">
        <v>566</v>
      </c>
      <c r="G98" s="1" t="s">
        <v>98</v>
      </c>
      <c r="H98" s="1" t="s">
        <v>14</v>
      </c>
      <c r="I98" s="1">
        <v>63150</v>
      </c>
      <c r="J98" t="s">
        <v>24</v>
      </c>
    </row>
    <row r="99" spans="2:10" ht="14.4">
      <c r="B99" s="1" t="s">
        <v>567</v>
      </c>
      <c r="C99" s="1" t="s">
        <v>568</v>
      </c>
      <c r="D99" s="1" t="s">
        <v>569</v>
      </c>
      <c r="E99" s="1" t="s">
        <v>570</v>
      </c>
      <c r="F99" s="1" t="s">
        <v>571</v>
      </c>
      <c r="G99" s="1" t="s">
        <v>506</v>
      </c>
      <c r="H99" s="1" t="s">
        <v>14</v>
      </c>
      <c r="I99" s="1">
        <v>93726</v>
      </c>
      <c r="J99" t="s">
        <v>24</v>
      </c>
    </row>
    <row r="100" spans="2:10" ht="14.4">
      <c r="B100" s="1" t="s">
        <v>572</v>
      </c>
      <c r="C100" s="1" t="s">
        <v>573</v>
      </c>
      <c r="D100" s="1"/>
      <c r="E100" s="1" t="s">
        <v>574</v>
      </c>
      <c r="F100" s="1" t="s">
        <v>575</v>
      </c>
      <c r="G100" s="1" t="s">
        <v>576</v>
      </c>
      <c r="H100" s="1" t="s">
        <v>22</v>
      </c>
      <c r="I100" s="1" t="s">
        <v>577</v>
      </c>
      <c r="J100" t="s">
        <v>24</v>
      </c>
    </row>
    <row r="101" spans="2:10" ht="14.4">
      <c r="B101" s="1" t="s">
        <v>578</v>
      </c>
      <c r="C101" s="1" t="s">
        <v>579</v>
      </c>
      <c r="D101" s="1"/>
      <c r="E101" s="1" t="s">
        <v>580</v>
      </c>
      <c r="F101" s="1" t="s">
        <v>581</v>
      </c>
      <c r="G101" s="1" t="s">
        <v>424</v>
      </c>
      <c r="H101" s="1" t="s">
        <v>14</v>
      </c>
      <c r="I101" s="1">
        <v>43210</v>
      </c>
      <c r="J101" t="s">
        <v>15</v>
      </c>
    </row>
    <row r="102" spans="2:10" ht="14.4">
      <c r="B102" s="1" t="s">
        <v>582</v>
      </c>
      <c r="C102" s="1" t="s">
        <v>583</v>
      </c>
      <c r="D102" s="1"/>
      <c r="E102" s="1" t="s">
        <v>584</v>
      </c>
      <c r="F102" s="1" t="s">
        <v>585</v>
      </c>
      <c r="G102" s="1" t="s">
        <v>586</v>
      </c>
      <c r="H102" s="1" t="s">
        <v>14</v>
      </c>
      <c r="I102" s="1">
        <v>95205</v>
      </c>
      <c r="J102" t="s">
        <v>15</v>
      </c>
    </row>
    <row r="103" spans="2:10" ht="14.4">
      <c r="B103" s="1" t="s">
        <v>587</v>
      </c>
      <c r="C103" s="1" t="s">
        <v>588</v>
      </c>
      <c r="D103" s="1" t="s">
        <v>589</v>
      </c>
      <c r="E103" s="1" t="s">
        <v>590</v>
      </c>
      <c r="F103" s="1" t="s">
        <v>591</v>
      </c>
      <c r="G103" s="1" t="s">
        <v>592</v>
      </c>
      <c r="H103" s="1" t="s">
        <v>22</v>
      </c>
      <c r="I103" s="1" t="s">
        <v>593</v>
      </c>
      <c r="J103" t="s">
        <v>15</v>
      </c>
    </row>
    <row r="104" spans="2:10" ht="14.4">
      <c r="B104" s="1" t="s">
        <v>594</v>
      </c>
      <c r="C104" s="1" t="s">
        <v>595</v>
      </c>
      <c r="D104" s="1" t="s">
        <v>596</v>
      </c>
      <c r="E104" s="1" t="s">
        <v>597</v>
      </c>
      <c r="F104" s="1" t="s">
        <v>598</v>
      </c>
      <c r="G104" s="1" t="s">
        <v>599</v>
      </c>
      <c r="H104" s="1" t="s">
        <v>22</v>
      </c>
      <c r="I104" s="1" t="s">
        <v>577</v>
      </c>
      <c r="J104" t="s">
        <v>15</v>
      </c>
    </row>
    <row r="105" spans="2:10" ht="14.4">
      <c r="B105" s="1" t="s">
        <v>600</v>
      </c>
      <c r="C105" s="1" t="s">
        <v>601</v>
      </c>
      <c r="D105" s="1" t="s">
        <v>602</v>
      </c>
      <c r="E105" s="1" t="s">
        <v>603</v>
      </c>
      <c r="F105" s="1" t="s">
        <v>604</v>
      </c>
      <c r="G105" s="1" t="s">
        <v>275</v>
      </c>
      <c r="H105" s="1" t="s">
        <v>14</v>
      </c>
      <c r="I105" s="1">
        <v>14652</v>
      </c>
      <c r="J105" t="s">
        <v>24</v>
      </c>
    </row>
    <row r="106" spans="2:10" ht="14.4">
      <c r="B106" s="1" t="s">
        <v>605</v>
      </c>
      <c r="C106" s="1" t="s">
        <v>606</v>
      </c>
      <c r="D106" s="1" t="s">
        <v>607</v>
      </c>
      <c r="E106" s="1" t="s">
        <v>608</v>
      </c>
      <c r="F106" s="1" t="s">
        <v>609</v>
      </c>
      <c r="G106" s="1" t="s">
        <v>610</v>
      </c>
      <c r="H106" s="1" t="s">
        <v>14</v>
      </c>
      <c r="I106" s="1">
        <v>35487</v>
      </c>
      <c r="J106" t="s">
        <v>24</v>
      </c>
    </row>
    <row r="107" spans="2:10" ht="14.4">
      <c r="B107" s="1" t="s">
        <v>611</v>
      </c>
      <c r="C107" s="1" t="s">
        <v>612</v>
      </c>
      <c r="D107" s="1" t="s">
        <v>613</v>
      </c>
      <c r="E107" s="1" t="s">
        <v>614</v>
      </c>
      <c r="F107" s="1" t="s">
        <v>615</v>
      </c>
      <c r="G107" s="1" t="s">
        <v>115</v>
      </c>
      <c r="H107" s="1" t="s">
        <v>14</v>
      </c>
      <c r="I107" s="1">
        <v>77260</v>
      </c>
      <c r="J107" t="s">
        <v>15</v>
      </c>
    </row>
    <row r="108" spans="2:10" ht="14.4">
      <c r="B108" s="1" t="s">
        <v>616</v>
      </c>
      <c r="C108" s="1" t="s">
        <v>617</v>
      </c>
      <c r="D108" s="1" t="s">
        <v>618</v>
      </c>
      <c r="E108" s="1" t="s">
        <v>619</v>
      </c>
      <c r="F108" s="1" t="s">
        <v>620</v>
      </c>
      <c r="G108" s="1" t="s">
        <v>621</v>
      </c>
      <c r="H108" s="1" t="s">
        <v>14</v>
      </c>
      <c r="I108" s="1">
        <v>88514</v>
      </c>
      <c r="J108" t="s">
        <v>24</v>
      </c>
    </row>
    <row r="109" spans="2:10" ht="14.4">
      <c r="B109" s="1" t="s">
        <v>622</v>
      </c>
      <c r="C109" s="1" t="s">
        <v>623</v>
      </c>
      <c r="D109" s="1" t="s">
        <v>624</v>
      </c>
      <c r="E109" s="1" t="s">
        <v>625</v>
      </c>
      <c r="F109" s="1" t="s">
        <v>626</v>
      </c>
      <c r="G109" s="1" t="s">
        <v>488</v>
      </c>
      <c r="H109" s="1" t="s">
        <v>14</v>
      </c>
      <c r="I109" s="1">
        <v>80935</v>
      </c>
      <c r="J109" t="s">
        <v>15</v>
      </c>
    </row>
    <row r="110" spans="2:10" ht="14.4">
      <c r="B110" s="1" t="s">
        <v>627</v>
      </c>
      <c r="C110" s="1" t="s">
        <v>628</v>
      </c>
      <c r="D110" s="1"/>
      <c r="E110" s="1" t="s">
        <v>629</v>
      </c>
      <c r="F110" s="1" t="s">
        <v>630</v>
      </c>
      <c r="G110" s="1" t="s">
        <v>365</v>
      </c>
      <c r="H110" s="1" t="s">
        <v>14</v>
      </c>
      <c r="I110" s="1">
        <v>46862</v>
      </c>
      <c r="J110" t="s">
        <v>24</v>
      </c>
    </row>
    <row r="111" spans="2:10" ht="14.4">
      <c r="B111" s="1" t="s">
        <v>631</v>
      </c>
      <c r="C111" s="1" t="s">
        <v>632</v>
      </c>
      <c r="D111" s="1" t="s">
        <v>633</v>
      </c>
      <c r="E111" s="1" t="s">
        <v>634</v>
      </c>
      <c r="F111" s="1" t="s">
        <v>635</v>
      </c>
      <c r="G111" s="1" t="s">
        <v>636</v>
      </c>
      <c r="H111" s="1" t="s">
        <v>14</v>
      </c>
      <c r="I111" s="1">
        <v>11054</v>
      </c>
      <c r="J111" t="s">
        <v>15</v>
      </c>
    </row>
    <row r="112" spans="2:10" ht="14.4">
      <c r="B112" s="1" t="s">
        <v>637</v>
      </c>
      <c r="C112" s="1" t="s">
        <v>638</v>
      </c>
      <c r="D112" s="1" t="s">
        <v>639</v>
      </c>
      <c r="E112" s="1" t="s">
        <v>640</v>
      </c>
      <c r="F112" s="1" t="s">
        <v>641</v>
      </c>
      <c r="G112" s="1" t="s">
        <v>36</v>
      </c>
      <c r="H112" s="1" t="s">
        <v>14</v>
      </c>
      <c r="I112" s="1">
        <v>1105</v>
      </c>
      <c r="J112" t="s">
        <v>15</v>
      </c>
    </row>
    <row r="113" spans="2:10" ht="14.4">
      <c r="B113" s="1" t="s">
        <v>642</v>
      </c>
      <c r="C113" s="1" t="s">
        <v>643</v>
      </c>
      <c r="D113" s="1" t="s">
        <v>644</v>
      </c>
      <c r="E113" s="1"/>
      <c r="F113" s="1" t="s">
        <v>645</v>
      </c>
      <c r="G113" s="1" t="s">
        <v>349</v>
      </c>
      <c r="H113" s="1" t="s">
        <v>14</v>
      </c>
      <c r="I113" s="1">
        <v>32575</v>
      </c>
      <c r="J113" t="s">
        <v>24</v>
      </c>
    </row>
    <row r="114" spans="2:10" ht="14.4">
      <c r="B114" s="1" t="s">
        <v>646</v>
      </c>
      <c r="C114" s="1" t="s">
        <v>647</v>
      </c>
      <c r="D114" s="1" t="s">
        <v>648</v>
      </c>
      <c r="E114" s="1" t="s">
        <v>649</v>
      </c>
      <c r="F114" s="1" t="s">
        <v>650</v>
      </c>
      <c r="G114" s="1" t="s">
        <v>87</v>
      </c>
      <c r="H114" s="1" t="s">
        <v>14</v>
      </c>
      <c r="I114" s="1">
        <v>23242</v>
      </c>
      <c r="J114" t="s">
        <v>24</v>
      </c>
    </row>
    <row r="115" spans="2:10" ht="14.4">
      <c r="B115" s="1" t="s">
        <v>651</v>
      </c>
      <c r="C115" s="1" t="s">
        <v>652</v>
      </c>
      <c r="D115" s="1" t="s">
        <v>653</v>
      </c>
      <c r="E115" s="1" t="s">
        <v>654</v>
      </c>
      <c r="F115" s="1" t="s">
        <v>655</v>
      </c>
      <c r="G115" s="1" t="s">
        <v>656</v>
      </c>
      <c r="H115" s="1" t="s">
        <v>22</v>
      </c>
      <c r="I115" s="1" t="s">
        <v>657</v>
      </c>
      <c r="J115" t="s">
        <v>24</v>
      </c>
    </row>
    <row r="116" spans="2:10" ht="14.4">
      <c r="B116" s="1" t="s">
        <v>658</v>
      </c>
      <c r="C116" s="1" t="s">
        <v>659</v>
      </c>
      <c r="D116" s="1"/>
      <c r="E116" s="1" t="s">
        <v>660</v>
      </c>
      <c r="F116" s="1" t="s">
        <v>661</v>
      </c>
      <c r="G116" s="1" t="s">
        <v>662</v>
      </c>
      <c r="H116" s="1" t="s">
        <v>14</v>
      </c>
      <c r="I116" s="1">
        <v>25705</v>
      </c>
      <c r="J116" t="s">
        <v>24</v>
      </c>
    </row>
    <row r="117" spans="2:10" ht="14.4">
      <c r="B117" s="1" t="s">
        <v>663</v>
      </c>
      <c r="C117" s="1" t="s">
        <v>664</v>
      </c>
      <c r="D117" s="1" t="s">
        <v>665</v>
      </c>
      <c r="E117" s="1" t="s">
        <v>666</v>
      </c>
      <c r="F117" s="1" t="s">
        <v>667</v>
      </c>
      <c r="G117" s="1" t="s">
        <v>286</v>
      </c>
      <c r="H117" s="1" t="s">
        <v>218</v>
      </c>
      <c r="I117" s="1" t="s">
        <v>668</v>
      </c>
      <c r="J117" t="s">
        <v>24</v>
      </c>
    </row>
    <row r="118" spans="2:10" ht="14.4">
      <c r="B118" s="1" t="s">
        <v>669</v>
      </c>
      <c r="C118" s="1" t="s">
        <v>670</v>
      </c>
      <c r="D118" s="1" t="s">
        <v>671</v>
      </c>
      <c r="E118" s="1" t="s">
        <v>672</v>
      </c>
      <c r="F118" s="1" t="s">
        <v>673</v>
      </c>
      <c r="G118" s="1" t="s">
        <v>674</v>
      </c>
      <c r="H118" s="1" t="s">
        <v>22</v>
      </c>
      <c r="I118" s="1" t="s">
        <v>675</v>
      </c>
      <c r="J118" t="s">
        <v>15</v>
      </c>
    </row>
    <row r="119" spans="2:10" ht="14.4">
      <c r="B119" s="1" t="s">
        <v>676</v>
      </c>
      <c r="C119" s="1" t="s">
        <v>677</v>
      </c>
      <c r="D119" s="1" t="s">
        <v>678</v>
      </c>
      <c r="E119" s="1" t="s">
        <v>679</v>
      </c>
      <c r="F119" s="1" t="s">
        <v>680</v>
      </c>
      <c r="G119" s="1" t="s">
        <v>53</v>
      </c>
      <c r="H119" s="1" t="s">
        <v>14</v>
      </c>
      <c r="I119" s="1">
        <v>45432</v>
      </c>
      <c r="J119" t="s">
        <v>24</v>
      </c>
    </row>
    <row r="120" spans="2:10" ht="14.4">
      <c r="B120" s="1" t="s">
        <v>681</v>
      </c>
      <c r="C120" s="1" t="s">
        <v>682</v>
      </c>
      <c r="D120" s="1" t="s">
        <v>683</v>
      </c>
      <c r="E120" s="1" t="s">
        <v>684</v>
      </c>
      <c r="F120" s="1" t="s">
        <v>685</v>
      </c>
      <c r="G120" s="1" t="s">
        <v>686</v>
      </c>
      <c r="H120" s="1" t="s">
        <v>14</v>
      </c>
      <c r="I120" s="1">
        <v>99507</v>
      </c>
      <c r="J120" t="s">
        <v>15</v>
      </c>
    </row>
    <row r="121" spans="2:10" ht="14.4">
      <c r="B121" s="1" t="s">
        <v>687</v>
      </c>
      <c r="C121" s="1" t="s">
        <v>688</v>
      </c>
      <c r="D121" s="1" t="s">
        <v>689</v>
      </c>
      <c r="E121" s="1" t="s">
        <v>690</v>
      </c>
      <c r="F121" s="1" t="s">
        <v>691</v>
      </c>
      <c r="G121" s="1" t="s">
        <v>692</v>
      </c>
      <c r="H121" s="1" t="s">
        <v>14</v>
      </c>
      <c r="I121" s="1">
        <v>37215</v>
      </c>
      <c r="J121" t="s">
        <v>24</v>
      </c>
    </row>
    <row r="122" spans="2:10" ht="14.4">
      <c r="B122" s="1" t="s">
        <v>693</v>
      </c>
      <c r="C122" s="1" t="s">
        <v>694</v>
      </c>
      <c r="D122" s="1" t="s">
        <v>695</v>
      </c>
      <c r="E122" s="1" t="s">
        <v>696</v>
      </c>
      <c r="F122" s="1" t="s">
        <v>697</v>
      </c>
      <c r="G122" s="1" t="s">
        <v>65</v>
      </c>
      <c r="H122" s="1" t="s">
        <v>14</v>
      </c>
      <c r="I122" s="1">
        <v>90040</v>
      </c>
      <c r="J122" t="s">
        <v>15</v>
      </c>
    </row>
    <row r="123" spans="2:10" ht="14.4">
      <c r="B123" s="1" t="s">
        <v>698</v>
      </c>
      <c r="C123" s="1" t="s">
        <v>699</v>
      </c>
      <c r="D123" s="1" t="s">
        <v>700</v>
      </c>
      <c r="E123" s="1" t="s">
        <v>701</v>
      </c>
      <c r="F123" s="1" t="s">
        <v>702</v>
      </c>
      <c r="G123" s="1" t="s">
        <v>440</v>
      </c>
      <c r="H123" s="1" t="s">
        <v>14</v>
      </c>
      <c r="I123" s="1">
        <v>28289</v>
      </c>
      <c r="J123" t="s">
        <v>24</v>
      </c>
    </row>
    <row r="124" spans="2:10" ht="14.4">
      <c r="B124" s="1" t="s">
        <v>703</v>
      </c>
      <c r="C124" s="1" t="s">
        <v>704</v>
      </c>
      <c r="D124" s="1" t="s">
        <v>705</v>
      </c>
      <c r="E124" s="1" t="s">
        <v>706</v>
      </c>
      <c r="F124" s="1" t="s">
        <v>707</v>
      </c>
      <c r="G124" s="1" t="s">
        <v>237</v>
      </c>
      <c r="H124" s="1" t="s">
        <v>14</v>
      </c>
      <c r="I124" s="1">
        <v>80217</v>
      </c>
      <c r="J124" t="s">
        <v>15</v>
      </c>
    </row>
    <row r="125" spans="2:10" ht="14.4">
      <c r="B125" s="1" t="s">
        <v>708</v>
      </c>
      <c r="C125" s="1" t="s">
        <v>709</v>
      </c>
      <c r="D125" s="1" t="s">
        <v>710</v>
      </c>
      <c r="E125" s="1" t="s">
        <v>711</v>
      </c>
      <c r="F125" s="1" t="s">
        <v>712</v>
      </c>
      <c r="G125" s="1" t="s">
        <v>713</v>
      </c>
      <c r="H125" s="1" t="s">
        <v>14</v>
      </c>
      <c r="I125" s="1">
        <v>6912</v>
      </c>
      <c r="J125" t="s">
        <v>24</v>
      </c>
    </row>
    <row r="126" spans="2:10" ht="14.4">
      <c r="B126" s="1" t="s">
        <v>714</v>
      </c>
      <c r="C126" s="1" t="s">
        <v>715</v>
      </c>
      <c r="D126" s="1" t="s">
        <v>716</v>
      </c>
      <c r="E126" s="1" t="s">
        <v>717</v>
      </c>
      <c r="F126" s="1" t="s">
        <v>718</v>
      </c>
      <c r="G126" s="1" t="s">
        <v>719</v>
      </c>
      <c r="H126" s="1" t="s">
        <v>14</v>
      </c>
      <c r="I126" s="1">
        <v>23605</v>
      </c>
      <c r="J126" t="s">
        <v>15</v>
      </c>
    </row>
    <row r="127" spans="2:10" ht="14.4">
      <c r="B127" s="1" t="s">
        <v>720</v>
      </c>
      <c r="C127" s="1" t="s">
        <v>721</v>
      </c>
      <c r="D127" s="1" t="s">
        <v>722</v>
      </c>
      <c r="E127" s="1" t="s">
        <v>723</v>
      </c>
      <c r="F127" s="1" t="s">
        <v>724</v>
      </c>
      <c r="G127" s="1" t="s">
        <v>725</v>
      </c>
      <c r="H127" s="1" t="s">
        <v>22</v>
      </c>
      <c r="I127" s="1" t="s">
        <v>726</v>
      </c>
      <c r="J127" t="s">
        <v>15</v>
      </c>
    </row>
    <row r="128" spans="2:10" ht="14.4">
      <c r="B128" s="1" t="s">
        <v>727</v>
      </c>
      <c r="C128" s="1" t="s">
        <v>728</v>
      </c>
      <c r="D128" s="1" t="s">
        <v>729</v>
      </c>
      <c r="E128" s="1" t="s">
        <v>730</v>
      </c>
      <c r="F128" s="1" t="s">
        <v>731</v>
      </c>
      <c r="G128" s="1" t="s">
        <v>686</v>
      </c>
      <c r="H128" s="1" t="s">
        <v>14</v>
      </c>
      <c r="I128" s="1">
        <v>99599</v>
      </c>
      <c r="J128" t="s">
        <v>24</v>
      </c>
    </row>
    <row r="129" spans="2:10" ht="14.4">
      <c r="B129" s="1" t="s">
        <v>732</v>
      </c>
      <c r="C129" s="1" t="s">
        <v>733</v>
      </c>
      <c r="D129" s="1" t="s">
        <v>734</v>
      </c>
      <c r="E129" s="1" t="s">
        <v>735</v>
      </c>
      <c r="F129" s="1" t="s">
        <v>736</v>
      </c>
      <c r="G129" s="1" t="s">
        <v>520</v>
      </c>
      <c r="H129" s="1" t="s">
        <v>22</v>
      </c>
      <c r="I129" s="1" t="s">
        <v>737</v>
      </c>
      <c r="J129" t="s">
        <v>24</v>
      </c>
    </row>
    <row r="130" spans="2:10" ht="14.4">
      <c r="B130" s="1" t="s">
        <v>738</v>
      </c>
      <c r="C130" s="1" t="s">
        <v>739</v>
      </c>
      <c r="D130" s="1" t="s">
        <v>740</v>
      </c>
      <c r="E130" s="1" t="s">
        <v>741</v>
      </c>
      <c r="F130" s="1" t="s">
        <v>742</v>
      </c>
      <c r="G130" s="1" t="s">
        <v>743</v>
      </c>
      <c r="H130" s="1" t="s">
        <v>14</v>
      </c>
      <c r="I130" s="1">
        <v>58122</v>
      </c>
      <c r="J130" t="s">
        <v>24</v>
      </c>
    </row>
    <row r="131" spans="2:10" ht="14.4">
      <c r="B131" s="1" t="s">
        <v>744</v>
      </c>
      <c r="C131" s="1" t="s">
        <v>745</v>
      </c>
      <c r="D131" s="1" t="s">
        <v>746</v>
      </c>
      <c r="E131" s="1" t="s">
        <v>747</v>
      </c>
      <c r="F131" s="1" t="s">
        <v>748</v>
      </c>
      <c r="G131" s="1" t="s">
        <v>749</v>
      </c>
      <c r="H131" s="1" t="s">
        <v>14</v>
      </c>
      <c r="I131" s="1">
        <v>47737</v>
      </c>
      <c r="J131" t="s">
        <v>15</v>
      </c>
    </row>
    <row r="132" spans="2:10" ht="14.4">
      <c r="B132" s="1" t="s">
        <v>750</v>
      </c>
      <c r="C132" s="1" t="s">
        <v>751</v>
      </c>
      <c r="D132" s="1"/>
      <c r="E132" s="1" t="s">
        <v>752</v>
      </c>
      <c r="F132" s="1" t="s">
        <v>753</v>
      </c>
      <c r="G132" s="1" t="s">
        <v>656</v>
      </c>
      <c r="H132" s="1" t="s">
        <v>22</v>
      </c>
      <c r="I132" s="1" t="s">
        <v>657</v>
      </c>
      <c r="J132" t="s">
        <v>15</v>
      </c>
    </row>
    <row r="133" spans="2:10" ht="14.4">
      <c r="B133" s="1" t="s">
        <v>754</v>
      </c>
      <c r="C133" s="1" t="s">
        <v>755</v>
      </c>
      <c r="D133" s="1" t="s">
        <v>756</v>
      </c>
      <c r="E133" s="1" t="s">
        <v>757</v>
      </c>
      <c r="F133" s="1" t="s">
        <v>758</v>
      </c>
      <c r="G133" s="1" t="s">
        <v>440</v>
      </c>
      <c r="H133" s="1" t="s">
        <v>14</v>
      </c>
      <c r="I133" s="1">
        <v>28210</v>
      </c>
      <c r="J133" t="s">
        <v>15</v>
      </c>
    </row>
    <row r="134" spans="2:10" ht="14.4">
      <c r="B134" s="1" t="s">
        <v>759</v>
      </c>
      <c r="C134" s="1" t="s">
        <v>760</v>
      </c>
      <c r="D134" s="1" t="s">
        <v>761</v>
      </c>
      <c r="E134" s="1" t="s">
        <v>762</v>
      </c>
      <c r="F134" s="1" t="s">
        <v>763</v>
      </c>
      <c r="G134" s="1" t="s">
        <v>764</v>
      </c>
      <c r="H134" s="1" t="s">
        <v>14</v>
      </c>
      <c r="I134" s="1">
        <v>35815</v>
      </c>
      <c r="J134" t="s">
        <v>15</v>
      </c>
    </row>
    <row r="135" spans="2:10" ht="14.4">
      <c r="B135" s="1" t="s">
        <v>765</v>
      </c>
      <c r="C135" s="1" t="s">
        <v>766</v>
      </c>
      <c r="D135" s="1" t="s">
        <v>767</v>
      </c>
      <c r="E135" s="1" t="s">
        <v>768</v>
      </c>
      <c r="F135" s="1" t="s">
        <v>769</v>
      </c>
      <c r="G135" s="1" t="s">
        <v>770</v>
      </c>
      <c r="H135" s="1" t="s">
        <v>14</v>
      </c>
      <c r="I135" s="1">
        <v>92725</v>
      </c>
      <c r="J135" t="s">
        <v>24</v>
      </c>
    </row>
    <row r="136" spans="2:10" ht="14.4">
      <c r="B136" s="1" t="s">
        <v>771</v>
      </c>
      <c r="C136" s="1" t="s">
        <v>772</v>
      </c>
      <c r="D136" s="1"/>
      <c r="E136" s="1"/>
      <c r="F136" s="1" t="s">
        <v>773</v>
      </c>
      <c r="G136" s="1" t="s">
        <v>303</v>
      </c>
      <c r="H136" s="1" t="s">
        <v>14</v>
      </c>
      <c r="I136" s="1">
        <v>20520</v>
      </c>
      <c r="J136" t="s">
        <v>15</v>
      </c>
    </row>
    <row r="137" spans="2:10" ht="14.4">
      <c r="B137" s="1" t="s">
        <v>774</v>
      </c>
      <c r="C137" s="1" t="s">
        <v>775</v>
      </c>
      <c r="D137" s="1" t="s">
        <v>776</v>
      </c>
      <c r="E137" s="1" t="s">
        <v>777</v>
      </c>
      <c r="F137" s="1" t="s">
        <v>778</v>
      </c>
      <c r="G137" s="1" t="s">
        <v>779</v>
      </c>
      <c r="H137" s="1" t="s">
        <v>22</v>
      </c>
      <c r="I137" s="1" t="s">
        <v>780</v>
      </c>
      <c r="J137" t="s">
        <v>24</v>
      </c>
    </row>
    <row r="138" spans="2:10" ht="14.4">
      <c r="B138" s="1" t="s">
        <v>781</v>
      </c>
      <c r="C138" s="1" t="s">
        <v>782</v>
      </c>
      <c r="D138" s="1" t="s">
        <v>783</v>
      </c>
      <c r="E138" s="1" t="s">
        <v>784</v>
      </c>
      <c r="F138" s="1" t="s">
        <v>785</v>
      </c>
      <c r="G138" s="1" t="s">
        <v>98</v>
      </c>
      <c r="H138" s="1" t="s">
        <v>14</v>
      </c>
      <c r="I138" s="1">
        <v>63131</v>
      </c>
      <c r="J138" t="s">
        <v>24</v>
      </c>
    </row>
    <row r="139" spans="2:10" ht="14.4">
      <c r="B139" s="1" t="s">
        <v>786</v>
      </c>
      <c r="C139" s="1" t="s">
        <v>787</v>
      </c>
      <c r="D139" s="1"/>
      <c r="E139" s="1" t="s">
        <v>788</v>
      </c>
      <c r="F139" s="1" t="s">
        <v>789</v>
      </c>
      <c r="G139" s="1" t="s">
        <v>205</v>
      </c>
      <c r="H139" s="1" t="s">
        <v>22</v>
      </c>
      <c r="I139" s="1" t="s">
        <v>206</v>
      </c>
      <c r="J139" t="s">
        <v>24</v>
      </c>
    </row>
    <row r="140" spans="2:10" ht="14.4">
      <c r="B140" s="1" t="s">
        <v>790</v>
      </c>
      <c r="C140" s="1" t="s">
        <v>791</v>
      </c>
      <c r="D140" s="1"/>
      <c r="E140" s="1" t="s">
        <v>792</v>
      </c>
      <c r="F140" s="1" t="s">
        <v>793</v>
      </c>
      <c r="G140" s="1" t="s">
        <v>794</v>
      </c>
      <c r="H140" s="1" t="s">
        <v>14</v>
      </c>
      <c r="I140" s="1">
        <v>96805</v>
      </c>
      <c r="J140" t="s">
        <v>24</v>
      </c>
    </row>
    <row r="141" spans="2:10" ht="14.4">
      <c r="B141" s="1" t="s">
        <v>795</v>
      </c>
      <c r="C141" s="1" t="s">
        <v>796</v>
      </c>
      <c r="D141" s="1"/>
      <c r="E141" s="1" t="s">
        <v>797</v>
      </c>
      <c r="F141" s="1" t="s">
        <v>798</v>
      </c>
      <c r="G141" s="1" t="s">
        <v>541</v>
      </c>
      <c r="H141" s="1" t="s">
        <v>14</v>
      </c>
      <c r="I141" s="1">
        <v>92878</v>
      </c>
      <c r="J141" t="s">
        <v>15</v>
      </c>
    </row>
    <row r="142" spans="2:10" ht="14.4">
      <c r="B142" s="1" t="s">
        <v>799</v>
      </c>
      <c r="C142" s="1" t="s">
        <v>800</v>
      </c>
      <c r="D142" s="1" t="s">
        <v>801</v>
      </c>
      <c r="E142" s="1" t="s">
        <v>802</v>
      </c>
      <c r="F142" s="1" t="s">
        <v>803</v>
      </c>
      <c r="G142" s="1" t="s">
        <v>804</v>
      </c>
      <c r="H142" s="1" t="s">
        <v>22</v>
      </c>
      <c r="I142" s="1" t="s">
        <v>737</v>
      </c>
      <c r="J142" t="s">
        <v>15</v>
      </c>
    </row>
    <row r="143" spans="2:10" ht="14.4">
      <c r="B143" s="1" t="s">
        <v>805</v>
      </c>
      <c r="C143" s="1" t="s">
        <v>806</v>
      </c>
      <c r="D143" s="1" t="s">
        <v>807</v>
      </c>
      <c r="E143" s="1" t="s">
        <v>808</v>
      </c>
      <c r="F143" s="1" t="s">
        <v>809</v>
      </c>
      <c r="G143" s="1" t="s">
        <v>303</v>
      </c>
      <c r="H143" s="1" t="s">
        <v>14</v>
      </c>
      <c r="I143" s="1">
        <v>20520</v>
      </c>
      <c r="J143" t="s">
        <v>15</v>
      </c>
    </row>
    <row r="144" spans="2:10" ht="14.4">
      <c r="B144" s="1" t="s">
        <v>810</v>
      </c>
      <c r="C144" s="1" t="s">
        <v>811</v>
      </c>
      <c r="D144" s="1"/>
      <c r="E144" s="1"/>
      <c r="F144" s="1" t="s">
        <v>812</v>
      </c>
      <c r="G144" s="1" t="s">
        <v>813</v>
      </c>
      <c r="H144" s="1" t="s">
        <v>22</v>
      </c>
      <c r="I144" s="1" t="s">
        <v>452</v>
      </c>
      <c r="J144" t="s">
        <v>15</v>
      </c>
    </row>
    <row r="145" spans="2:10" ht="14.4">
      <c r="B145" s="1" t="s">
        <v>814</v>
      </c>
      <c r="C145" s="1" t="s">
        <v>815</v>
      </c>
      <c r="D145" s="1" t="s">
        <v>816</v>
      </c>
      <c r="E145" s="1" t="s">
        <v>817</v>
      </c>
      <c r="F145" s="1" t="s">
        <v>818</v>
      </c>
      <c r="G145" s="1" t="s">
        <v>115</v>
      </c>
      <c r="H145" s="1" t="s">
        <v>14</v>
      </c>
      <c r="I145" s="1">
        <v>77281</v>
      </c>
      <c r="J145" t="s">
        <v>24</v>
      </c>
    </row>
    <row r="146" spans="2:10" ht="14.4">
      <c r="B146" s="1" t="s">
        <v>819</v>
      </c>
      <c r="C146" s="1" t="s">
        <v>820</v>
      </c>
      <c r="D146" s="1" t="s">
        <v>821</v>
      </c>
      <c r="E146" s="1" t="s">
        <v>822</v>
      </c>
      <c r="F146" s="1" t="s">
        <v>823</v>
      </c>
      <c r="G146" s="1" t="s">
        <v>824</v>
      </c>
      <c r="H146" s="1" t="s">
        <v>14</v>
      </c>
      <c r="I146" s="1">
        <v>92668</v>
      </c>
      <c r="J146" t="s">
        <v>15</v>
      </c>
    </row>
    <row r="147" spans="2:10" ht="14.4">
      <c r="B147" s="1" t="s">
        <v>825</v>
      </c>
      <c r="C147" s="1" t="s">
        <v>826</v>
      </c>
      <c r="D147" s="1" t="s">
        <v>827</v>
      </c>
      <c r="E147" s="1" t="s">
        <v>828</v>
      </c>
      <c r="F147" s="1" t="s">
        <v>829</v>
      </c>
      <c r="G147" s="1" t="s">
        <v>621</v>
      </c>
      <c r="H147" s="1" t="s">
        <v>14</v>
      </c>
      <c r="I147" s="1">
        <v>88553</v>
      </c>
      <c r="J147" t="s">
        <v>24</v>
      </c>
    </row>
    <row r="148" spans="2:10" ht="14.4">
      <c r="B148" s="1" t="s">
        <v>830</v>
      </c>
      <c r="C148" s="1" t="s">
        <v>831</v>
      </c>
      <c r="D148" s="1" t="s">
        <v>832</v>
      </c>
      <c r="E148" s="1" t="s">
        <v>833</v>
      </c>
      <c r="F148" s="1" t="s">
        <v>834</v>
      </c>
      <c r="G148" s="1" t="s">
        <v>835</v>
      </c>
      <c r="H148" s="1" t="s">
        <v>14</v>
      </c>
      <c r="I148" s="1">
        <v>89714</v>
      </c>
      <c r="J148" t="s">
        <v>24</v>
      </c>
    </row>
    <row r="149" spans="2:10" ht="14.4">
      <c r="B149" s="1" t="s">
        <v>836</v>
      </c>
      <c r="C149" s="1" t="s">
        <v>837</v>
      </c>
      <c r="D149" s="1" t="s">
        <v>838</v>
      </c>
      <c r="E149" s="1" t="s">
        <v>839</v>
      </c>
      <c r="F149" s="1" t="s">
        <v>840</v>
      </c>
      <c r="G149" s="1" t="s">
        <v>399</v>
      </c>
      <c r="H149" s="1" t="s">
        <v>14</v>
      </c>
      <c r="I149" s="1">
        <v>76105</v>
      </c>
      <c r="J149" t="s">
        <v>15</v>
      </c>
    </row>
    <row r="150" spans="2:10" ht="14.4">
      <c r="B150" s="1" t="s">
        <v>841</v>
      </c>
      <c r="C150" s="1" t="s">
        <v>842</v>
      </c>
      <c r="D150" s="1" t="s">
        <v>843</v>
      </c>
      <c r="E150" s="1" t="s">
        <v>844</v>
      </c>
      <c r="F150" s="1" t="s">
        <v>845</v>
      </c>
      <c r="G150" s="1" t="s">
        <v>326</v>
      </c>
      <c r="H150" s="1" t="s">
        <v>14</v>
      </c>
      <c r="I150" s="1">
        <v>84605</v>
      </c>
      <c r="J150" t="s">
        <v>15</v>
      </c>
    </row>
    <row r="151" spans="2:10" ht="14.4">
      <c r="B151" s="1" t="s">
        <v>846</v>
      </c>
      <c r="C151" s="1" t="s">
        <v>847</v>
      </c>
      <c r="D151" s="1"/>
      <c r="E151" s="1" t="s">
        <v>848</v>
      </c>
      <c r="F151" s="1" t="s">
        <v>849</v>
      </c>
      <c r="G151" s="1" t="s">
        <v>850</v>
      </c>
      <c r="H151" s="1" t="s">
        <v>14</v>
      </c>
      <c r="I151" s="1">
        <v>33487</v>
      </c>
      <c r="J151" t="s">
        <v>15</v>
      </c>
    </row>
    <row r="152" spans="2:10" ht="14.4">
      <c r="B152" s="1" t="s">
        <v>851</v>
      </c>
      <c r="C152" s="1" t="s">
        <v>852</v>
      </c>
      <c r="D152" s="1" t="s">
        <v>853</v>
      </c>
      <c r="E152" s="1" t="s">
        <v>854</v>
      </c>
      <c r="F152" s="1" t="s">
        <v>855</v>
      </c>
      <c r="G152" s="1" t="s">
        <v>856</v>
      </c>
      <c r="H152" s="1" t="s">
        <v>14</v>
      </c>
      <c r="I152" s="1">
        <v>24040</v>
      </c>
      <c r="J152" t="s">
        <v>15</v>
      </c>
    </row>
    <row r="153" spans="2:10" ht="14.4">
      <c r="B153" s="1" t="s">
        <v>857</v>
      </c>
      <c r="C153" s="1" t="s">
        <v>858</v>
      </c>
      <c r="D153" s="1"/>
      <c r="E153" s="1" t="s">
        <v>859</v>
      </c>
      <c r="F153" s="1" t="s">
        <v>860</v>
      </c>
      <c r="G153" s="1" t="s">
        <v>861</v>
      </c>
      <c r="H153" s="1" t="s">
        <v>14</v>
      </c>
      <c r="I153" s="1">
        <v>50369</v>
      </c>
      <c r="J153" t="s">
        <v>15</v>
      </c>
    </row>
    <row r="154" spans="2:10" ht="14.4">
      <c r="B154" s="1" t="s">
        <v>862</v>
      </c>
      <c r="C154" s="1" t="s">
        <v>863</v>
      </c>
      <c r="D154" s="1" t="s">
        <v>864</v>
      </c>
      <c r="E154" s="1" t="s">
        <v>865</v>
      </c>
      <c r="F154" s="1" t="s">
        <v>866</v>
      </c>
      <c r="G154" s="1" t="s">
        <v>794</v>
      </c>
      <c r="H154" s="1" t="s">
        <v>14</v>
      </c>
      <c r="I154" s="1">
        <v>96805</v>
      </c>
      <c r="J154" t="s">
        <v>15</v>
      </c>
    </row>
    <row r="155" spans="2:10" ht="14.4">
      <c r="B155" s="1" t="s">
        <v>867</v>
      </c>
      <c r="C155" s="1" t="s">
        <v>868</v>
      </c>
      <c r="D155" s="1"/>
      <c r="E155" s="1" t="s">
        <v>869</v>
      </c>
      <c r="F155" s="1" t="s">
        <v>870</v>
      </c>
      <c r="G155" s="1" t="s">
        <v>309</v>
      </c>
      <c r="H155" s="1" t="s">
        <v>14</v>
      </c>
      <c r="I155" s="1">
        <v>33345</v>
      </c>
      <c r="J155" t="s">
        <v>24</v>
      </c>
    </row>
    <row r="156" spans="2:10" ht="14.4">
      <c r="B156" s="1" t="s">
        <v>871</v>
      </c>
      <c r="C156" s="1" t="s">
        <v>872</v>
      </c>
      <c r="D156" s="1" t="s">
        <v>873</v>
      </c>
      <c r="E156" s="1" t="s">
        <v>874</v>
      </c>
      <c r="F156" s="1" t="s">
        <v>875</v>
      </c>
      <c r="G156" s="1" t="s">
        <v>103</v>
      </c>
      <c r="H156" s="1" t="s">
        <v>14</v>
      </c>
      <c r="I156" s="1">
        <v>19172</v>
      </c>
      <c r="J156" t="s">
        <v>24</v>
      </c>
    </row>
    <row r="157" spans="2:10" ht="14.4">
      <c r="B157" s="1" t="s">
        <v>876</v>
      </c>
      <c r="C157" s="1" t="s">
        <v>877</v>
      </c>
      <c r="D157" s="1" t="s">
        <v>878</v>
      </c>
      <c r="E157" s="1" t="s">
        <v>879</v>
      </c>
      <c r="F157" s="1" t="s">
        <v>880</v>
      </c>
      <c r="G157" s="1" t="s">
        <v>881</v>
      </c>
      <c r="H157" s="1" t="s">
        <v>14</v>
      </c>
      <c r="I157" s="1">
        <v>6854</v>
      </c>
      <c r="J157" t="s">
        <v>15</v>
      </c>
    </row>
    <row r="158" spans="2:10" ht="14.4">
      <c r="B158" s="1" t="s">
        <v>882</v>
      </c>
      <c r="C158" s="1" t="s">
        <v>883</v>
      </c>
      <c r="D158" s="1" t="s">
        <v>884</v>
      </c>
      <c r="E158" s="1" t="s">
        <v>885</v>
      </c>
      <c r="F158" s="1" t="s">
        <v>886</v>
      </c>
      <c r="G158" s="1" t="s">
        <v>887</v>
      </c>
      <c r="H158" s="1" t="s">
        <v>14</v>
      </c>
      <c r="I158" s="1">
        <v>76011</v>
      </c>
      <c r="J158" t="s">
        <v>15</v>
      </c>
    </row>
    <row r="159" spans="2:10" ht="14.4">
      <c r="B159" s="1" t="s">
        <v>888</v>
      </c>
      <c r="C159" s="1" t="s">
        <v>889</v>
      </c>
      <c r="D159" s="1" t="s">
        <v>890</v>
      </c>
      <c r="E159" s="1" t="s">
        <v>891</v>
      </c>
      <c r="F159" s="1" t="s">
        <v>892</v>
      </c>
      <c r="G159" s="1" t="s">
        <v>893</v>
      </c>
      <c r="H159" s="1" t="s">
        <v>22</v>
      </c>
      <c r="I159" s="1" t="s">
        <v>894</v>
      </c>
      <c r="J159" t="s">
        <v>24</v>
      </c>
    </row>
    <row r="160" spans="2:10" ht="14.4">
      <c r="B160" s="1" t="s">
        <v>895</v>
      </c>
      <c r="C160" s="1" t="s">
        <v>896</v>
      </c>
      <c r="D160" s="1"/>
      <c r="E160" s="1" t="s">
        <v>897</v>
      </c>
      <c r="F160" s="1" t="s">
        <v>898</v>
      </c>
      <c r="G160" s="1" t="s">
        <v>899</v>
      </c>
      <c r="H160" s="1" t="s">
        <v>14</v>
      </c>
      <c r="I160" s="1">
        <v>37416</v>
      </c>
      <c r="J160" t="s">
        <v>15</v>
      </c>
    </row>
    <row r="161" spans="2:10" ht="14.4">
      <c r="B161" s="1" t="s">
        <v>900</v>
      </c>
      <c r="C161" s="1" t="s">
        <v>901</v>
      </c>
      <c r="D161" s="1"/>
      <c r="E161" s="1" t="s">
        <v>902</v>
      </c>
      <c r="F161" s="1" t="s">
        <v>903</v>
      </c>
      <c r="G161" s="1" t="s">
        <v>109</v>
      </c>
      <c r="H161" s="1" t="s">
        <v>14</v>
      </c>
      <c r="I161" s="1">
        <v>97296</v>
      </c>
      <c r="J161" t="s">
        <v>24</v>
      </c>
    </row>
    <row r="162" spans="2:10" ht="14.4">
      <c r="B162" s="1" t="s">
        <v>904</v>
      </c>
      <c r="C162" s="1" t="s">
        <v>905</v>
      </c>
      <c r="D162" s="1" t="s">
        <v>906</v>
      </c>
      <c r="E162" s="1" t="s">
        <v>907</v>
      </c>
      <c r="F162" s="1" t="s">
        <v>908</v>
      </c>
      <c r="G162" s="1" t="s">
        <v>515</v>
      </c>
      <c r="H162" s="1" t="s">
        <v>14</v>
      </c>
      <c r="I162" s="1">
        <v>73135</v>
      </c>
      <c r="J162" t="s">
        <v>24</v>
      </c>
    </row>
    <row r="163" spans="2:10" ht="14.4">
      <c r="B163" s="1" t="s">
        <v>909</v>
      </c>
      <c r="C163" s="1" t="s">
        <v>910</v>
      </c>
      <c r="D163" s="1" t="s">
        <v>911</v>
      </c>
      <c r="E163" s="1" t="s">
        <v>912</v>
      </c>
      <c r="F163" s="1" t="s">
        <v>913</v>
      </c>
      <c r="G163" s="1" t="s">
        <v>303</v>
      </c>
      <c r="H163" s="1" t="s">
        <v>14</v>
      </c>
      <c r="I163" s="1">
        <v>20520</v>
      </c>
      <c r="J163" t="s">
        <v>24</v>
      </c>
    </row>
    <row r="164" spans="2:10" ht="14.4">
      <c r="B164" s="1" t="s">
        <v>914</v>
      </c>
      <c r="C164" s="1" t="s">
        <v>915</v>
      </c>
      <c r="D164" s="1" t="s">
        <v>916</v>
      </c>
      <c r="E164" s="1" t="s">
        <v>917</v>
      </c>
      <c r="F164" s="1" t="s">
        <v>918</v>
      </c>
      <c r="G164" s="1" t="s">
        <v>919</v>
      </c>
      <c r="H164" s="1" t="s">
        <v>14</v>
      </c>
      <c r="I164" s="1">
        <v>27415</v>
      </c>
      <c r="J164" t="s">
        <v>15</v>
      </c>
    </row>
    <row r="165" spans="2:10" ht="14.4">
      <c r="B165" s="1" t="s">
        <v>920</v>
      </c>
      <c r="C165" s="1" t="s">
        <v>921</v>
      </c>
      <c r="D165" s="1" t="s">
        <v>922</v>
      </c>
      <c r="E165" s="1" t="s">
        <v>923</v>
      </c>
      <c r="F165" s="1" t="s">
        <v>924</v>
      </c>
      <c r="G165" s="1" t="s">
        <v>925</v>
      </c>
      <c r="H165" s="1" t="s">
        <v>14</v>
      </c>
      <c r="I165" s="1">
        <v>22313</v>
      </c>
      <c r="J165" t="s">
        <v>24</v>
      </c>
    </row>
    <row r="166" spans="2:10" ht="14.4">
      <c r="B166" s="1"/>
      <c r="C166" s="1"/>
      <c r="D166" s="1"/>
      <c r="E166" s="1"/>
      <c r="F166" s="1"/>
      <c r="G166" s="1"/>
      <c r="H166" s="1"/>
      <c r="I166" s="1"/>
    </row>
    <row r="167" spans="2:10" ht="14.4">
      <c r="B167" s="1"/>
      <c r="C167" s="1"/>
      <c r="D167" s="1"/>
      <c r="E167" s="1"/>
      <c r="F167" s="1"/>
      <c r="G167" s="1"/>
      <c r="H167" s="1"/>
      <c r="I167" s="1"/>
    </row>
    <row r="168" spans="2:10" ht="14.4">
      <c r="B168" s="1"/>
      <c r="C168" s="1"/>
      <c r="D168" s="1"/>
      <c r="E168" s="1"/>
      <c r="F168" s="1"/>
      <c r="G168" s="1"/>
      <c r="H168" s="1"/>
      <c r="I168" s="1"/>
    </row>
    <row r="169" spans="2:10" ht="14.4">
      <c r="B169" s="1"/>
      <c r="C169" s="1"/>
      <c r="D169" s="1"/>
      <c r="E169" s="1"/>
      <c r="F169" s="1"/>
      <c r="G169" s="1"/>
      <c r="H169" s="1"/>
      <c r="I169" s="1"/>
    </row>
    <row r="170" spans="2:10" ht="14.4">
      <c r="B170" s="1"/>
      <c r="C170" s="1"/>
      <c r="D170" s="1"/>
      <c r="E170" s="1"/>
      <c r="F170" s="1"/>
      <c r="G170" s="1"/>
      <c r="H170" s="1"/>
      <c r="I170" s="1"/>
    </row>
    <row r="171" spans="2:10" ht="14.4">
      <c r="B171" s="1"/>
      <c r="C171" s="1"/>
      <c r="D171" s="1"/>
      <c r="E171" s="1"/>
      <c r="F171" s="1"/>
      <c r="G171" s="1"/>
      <c r="H171" s="1"/>
      <c r="I171" s="1"/>
    </row>
    <row r="172" spans="2:10" ht="14.4">
      <c r="B172" s="1"/>
      <c r="C172" s="1"/>
      <c r="D172" s="1"/>
      <c r="E172" s="1"/>
      <c r="F172" s="1"/>
      <c r="G172" s="1"/>
      <c r="H172" s="1"/>
      <c r="I172" s="1"/>
    </row>
    <row r="173" spans="2:10" ht="14.4">
      <c r="B173" s="1"/>
      <c r="C173" s="1"/>
      <c r="D173" s="1"/>
      <c r="E173" s="1"/>
      <c r="F173" s="1"/>
      <c r="G173" s="1"/>
      <c r="H173" s="1"/>
      <c r="I173" s="1"/>
    </row>
    <row r="174" spans="2:10" ht="14.4">
      <c r="B174" s="1"/>
      <c r="C174" s="1"/>
      <c r="D174" s="1"/>
      <c r="E174" s="1"/>
      <c r="F174" s="1"/>
      <c r="G174" s="1"/>
      <c r="H174" s="1"/>
      <c r="I174" s="1"/>
    </row>
    <row r="175" spans="2:10" ht="14.4">
      <c r="B175" s="1"/>
      <c r="C175" s="1"/>
      <c r="D175" s="1"/>
      <c r="E175" s="1"/>
      <c r="F175" s="1"/>
      <c r="G175" s="1"/>
      <c r="H175" s="1"/>
      <c r="I175" s="1"/>
    </row>
    <row r="176" spans="2:10" ht="14.4">
      <c r="B176" s="1"/>
      <c r="C176" s="1"/>
      <c r="D176" s="1"/>
      <c r="E176" s="1"/>
      <c r="F176" s="1"/>
      <c r="G176" s="1"/>
      <c r="H176" s="1"/>
      <c r="I176" s="1"/>
    </row>
    <row r="177" spans="2:9" ht="14.4">
      <c r="B177" s="1"/>
      <c r="C177" s="1"/>
      <c r="D177" s="1"/>
      <c r="E177" s="1"/>
      <c r="F177" s="1"/>
      <c r="G177" s="1"/>
      <c r="H177" s="1"/>
      <c r="I177" s="1"/>
    </row>
    <row r="178" spans="2:9" ht="14.4">
      <c r="B178" s="1"/>
      <c r="C178" s="1"/>
      <c r="D178" s="1"/>
      <c r="E178" s="1"/>
      <c r="F178" s="1"/>
      <c r="G178" s="1"/>
      <c r="H178" s="1"/>
      <c r="I178" s="1"/>
    </row>
    <row r="179" spans="2:9" ht="14.4">
      <c r="B179" s="1"/>
      <c r="C179" s="1"/>
      <c r="D179" s="1"/>
      <c r="E179" s="1"/>
      <c r="F179" s="1"/>
      <c r="G179" s="1"/>
      <c r="H179" s="1"/>
      <c r="I179" s="1"/>
    </row>
    <row r="180" spans="2:9" ht="14.4">
      <c r="B180" s="1"/>
      <c r="C180" s="1"/>
      <c r="D180" s="1"/>
      <c r="E180" s="1"/>
      <c r="F180" s="1"/>
      <c r="G180" s="1"/>
      <c r="H180" s="1"/>
      <c r="I180" s="1"/>
    </row>
    <row r="181" spans="2:9" ht="14.4">
      <c r="B181" s="1"/>
      <c r="C181" s="1"/>
      <c r="D181" s="1"/>
      <c r="E181" s="1"/>
      <c r="F181" s="1"/>
      <c r="G181" s="1"/>
      <c r="H181" s="1"/>
      <c r="I181" s="1"/>
    </row>
    <row r="182" spans="2:9" ht="14.4">
      <c r="B182" s="1"/>
      <c r="C182" s="1"/>
      <c r="D182" s="1"/>
      <c r="E182" s="1"/>
      <c r="F182" s="1"/>
      <c r="G182" s="1"/>
      <c r="H182" s="1"/>
      <c r="I182" s="1"/>
    </row>
    <row r="183" spans="2:9" ht="14.4">
      <c r="B183" s="1"/>
      <c r="C183" s="1"/>
      <c r="D183" s="1"/>
      <c r="E183" s="1"/>
      <c r="F183" s="1"/>
      <c r="G183" s="1"/>
      <c r="H183" s="1"/>
      <c r="I183" s="1"/>
    </row>
    <row r="184" spans="2:9" ht="14.4">
      <c r="B184" s="1"/>
      <c r="C184" s="1"/>
      <c r="D184" s="1"/>
      <c r="E184" s="1"/>
      <c r="F184" s="1"/>
      <c r="G184" s="1"/>
      <c r="H184" s="1"/>
      <c r="I184" s="1"/>
    </row>
    <row r="185" spans="2:9" ht="14.4">
      <c r="B185" s="1"/>
      <c r="C185" s="1"/>
      <c r="D185" s="1"/>
      <c r="E185" s="1"/>
      <c r="F185" s="1"/>
      <c r="G185" s="1"/>
      <c r="H185" s="1"/>
      <c r="I185" s="1"/>
    </row>
    <row r="186" spans="2:9" ht="14.4">
      <c r="B186" s="1"/>
      <c r="C186" s="1"/>
      <c r="D186" s="1"/>
      <c r="E186" s="1"/>
      <c r="F186" s="1"/>
      <c r="G186" s="1"/>
      <c r="H186" s="1"/>
      <c r="I186" s="1"/>
    </row>
    <row r="187" spans="2:9" ht="14.4">
      <c r="B187" s="1"/>
      <c r="C187" s="1"/>
      <c r="D187" s="1"/>
      <c r="E187" s="1"/>
      <c r="F187" s="1"/>
      <c r="G187" s="1"/>
      <c r="H187" s="1"/>
      <c r="I187" s="1"/>
    </row>
    <row r="188" spans="2:9" ht="14.4">
      <c r="B188" s="1"/>
      <c r="C188" s="1"/>
      <c r="D188" s="1"/>
      <c r="E188" s="1"/>
      <c r="F188" s="1"/>
      <c r="G188" s="1"/>
      <c r="H188" s="1"/>
      <c r="I188" s="1"/>
    </row>
    <row r="189" spans="2:9" ht="14.4">
      <c r="B189" s="1"/>
      <c r="C189" s="1"/>
      <c r="D189" s="1"/>
      <c r="E189" s="1"/>
      <c r="F189" s="1"/>
      <c r="G189" s="1"/>
      <c r="H189" s="1"/>
      <c r="I189" s="1"/>
    </row>
    <row r="190" spans="2:9" ht="14.4">
      <c r="B190" s="1"/>
      <c r="C190" s="1"/>
      <c r="D190" s="1"/>
      <c r="E190" s="1"/>
      <c r="F190" s="1"/>
      <c r="G190" s="1"/>
      <c r="H190" s="1"/>
      <c r="I190" s="1"/>
    </row>
    <row r="191" spans="2:9" ht="14.4">
      <c r="B191" s="1"/>
      <c r="C191" s="1"/>
      <c r="D191" s="1"/>
      <c r="E191" s="1"/>
      <c r="F191" s="1"/>
      <c r="G191" s="1"/>
      <c r="H191" s="1"/>
      <c r="I191" s="1"/>
    </row>
    <row r="192" spans="2:9" ht="14.4">
      <c r="B192" s="1"/>
      <c r="C192" s="1"/>
      <c r="D192" s="1"/>
      <c r="E192" s="1"/>
      <c r="F192" s="1"/>
      <c r="G192" s="1"/>
      <c r="H192" s="1"/>
      <c r="I192" s="1"/>
    </row>
    <row r="193" spans="2:9" ht="14.4">
      <c r="B193" s="1"/>
      <c r="C193" s="1"/>
      <c r="D193" s="1"/>
      <c r="E193" s="1"/>
      <c r="F193" s="1"/>
      <c r="G193" s="1"/>
      <c r="H193" s="1"/>
      <c r="I193" s="1"/>
    </row>
    <row r="194" spans="2:9" ht="14.4">
      <c r="B194" s="1"/>
      <c r="C194" s="1"/>
      <c r="D194" s="1"/>
      <c r="E194" s="1"/>
      <c r="F194" s="1"/>
      <c r="G194" s="1"/>
      <c r="H194" s="1"/>
      <c r="I194" s="1"/>
    </row>
    <row r="195" spans="2:9" ht="14.4">
      <c r="B195" s="1"/>
      <c r="C195" s="1"/>
      <c r="D195" s="1"/>
      <c r="E195" s="1"/>
      <c r="F195" s="1"/>
      <c r="G195" s="1"/>
      <c r="H195" s="1"/>
      <c r="I195" s="1"/>
    </row>
    <row r="196" spans="2:9" ht="14.4">
      <c r="B196" s="1"/>
      <c r="C196" s="1"/>
      <c r="D196" s="1"/>
      <c r="E196" s="1"/>
      <c r="F196" s="1"/>
      <c r="G196" s="1"/>
      <c r="H196" s="1"/>
      <c r="I196" s="1"/>
    </row>
    <row r="197" spans="2:9" ht="14.4">
      <c r="B197" s="1"/>
      <c r="C197" s="1"/>
      <c r="D197" s="1"/>
      <c r="E197" s="1"/>
      <c r="F197" s="1"/>
      <c r="G197" s="1"/>
      <c r="H197" s="1"/>
      <c r="I197" s="1"/>
    </row>
    <row r="198" spans="2:9" ht="14.4">
      <c r="B198" s="1"/>
      <c r="C198" s="1"/>
      <c r="D198" s="1"/>
      <c r="E198" s="1"/>
      <c r="F198" s="1"/>
      <c r="G198" s="1"/>
      <c r="H198" s="1"/>
      <c r="I198" s="1"/>
    </row>
    <row r="199" spans="2:9" ht="14.4">
      <c r="B199" s="1"/>
      <c r="C199" s="1"/>
      <c r="D199" s="1"/>
      <c r="E199" s="1"/>
      <c r="F199" s="1"/>
      <c r="G199" s="1"/>
      <c r="H199" s="1"/>
      <c r="I199" s="1"/>
    </row>
    <row r="200" spans="2:9" ht="14.4">
      <c r="B200" s="1"/>
      <c r="C200" s="1"/>
      <c r="D200" s="1"/>
      <c r="E200" s="1"/>
      <c r="F200" s="1"/>
      <c r="G200" s="1"/>
      <c r="H200" s="1"/>
      <c r="I200" s="1"/>
    </row>
    <row r="201" spans="2:9" ht="14.4">
      <c r="B201" s="1"/>
      <c r="C201" s="1"/>
      <c r="D201" s="1"/>
      <c r="E201" s="1"/>
      <c r="F201" s="1"/>
      <c r="G201" s="1"/>
      <c r="H201" s="1"/>
      <c r="I201" s="1"/>
    </row>
    <row r="202" spans="2:9" ht="14.4">
      <c r="B202" s="1"/>
      <c r="C202" s="1"/>
      <c r="D202" s="1"/>
      <c r="E202" s="1"/>
      <c r="F202" s="1"/>
      <c r="G202" s="1"/>
      <c r="H202" s="1"/>
      <c r="I202" s="1"/>
    </row>
    <row r="203" spans="2:9" ht="14.4">
      <c r="B203" s="1"/>
      <c r="C203" s="1"/>
      <c r="D203" s="1"/>
      <c r="E203" s="1"/>
      <c r="F203" s="1"/>
      <c r="G203" s="1"/>
      <c r="H203" s="1"/>
      <c r="I203" s="1"/>
    </row>
    <row r="204" spans="2:9" ht="14.4">
      <c r="B204" s="1"/>
      <c r="C204" s="1"/>
      <c r="D204" s="1"/>
      <c r="E204" s="1"/>
      <c r="F204" s="1"/>
      <c r="G204" s="1"/>
      <c r="H204" s="1"/>
      <c r="I204" s="1"/>
    </row>
    <row r="205" spans="2:9" ht="14.4">
      <c r="B205" s="1"/>
      <c r="C205" s="1"/>
      <c r="D205" s="1"/>
      <c r="E205" s="1"/>
      <c r="F205" s="1"/>
      <c r="G205" s="1"/>
      <c r="H205" s="1"/>
      <c r="I205" s="1"/>
    </row>
    <row r="206" spans="2:9" ht="14.4">
      <c r="B206" s="1"/>
      <c r="C206" s="1"/>
      <c r="D206" s="1"/>
      <c r="E206" s="1"/>
      <c r="F206" s="1"/>
      <c r="G206" s="1"/>
      <c r="H206" s="1"/>
      <c r="I206" s="1"/>
    </row>
    <row r="207" spans="2:9" ht="14.4">
      <c r="B207" s="1"/>
      <c r="C207" s="1"/>
      <c r="D207" s="1"/>
      <c r="E207" s="1"/>
      <c r="F207" s="1"/>
      <c r="G207" s="1"/>
      <c r="H207" s="1"/>
      <c r="I207" s="1"/>
    </row>
    <row r="208" spans="2:9" ht="14.4">
      <c r="B208" s="1"/>
      <c r="C208" s="1"/>
      <c r="D208" s="1"/>
      <c r="E208" s="1"/>
      <c r="F208" s="1"/>
      <c r="G208" s="1"/>
      <c r="H208" s="1"/>
      <c r="I208" s="1"/>
    </row>
    <row r="209" spans="2:9" ht="14.4">
      <c r="B209" s="1"/>
      <c r="C209" s="1"/>
      <c r="D209" s="1"/>
      <c r="E209" s="1"/>
      <c r="F209" s="1"/>
      <c r="G209" s="1"/>
      <c r="H209" s="1"/>
      <c r="I209" s="1"/>
    </row>
    <row r="210" spans="2:9" ht="14.4">
      <c r="B210" s="1"/>
      <c r="C210" s="1"/>
      <c r="D210" s="1"/>
      <c r="E210" s="1"/>
      <c r="F210" s="1"/>
      <c r="G210" s="1"/>
      <c r="H210" s="1"/>
      <c r="I210" s="1"/>
    </row>
    <row r="211" spans="2:9" ht="14.4">
      <c r="B211" s="1"/>
      <c r="C211" s="1"/>
      <c r="D211" s="1"/>
      <c r="E211" s="1"/>
      <c r="F211" s="1"/>
      <c r="G211" s="1"/>
      <c r="H211" s="1"/>
      <c r="I211" s="1"/>
    </row>
    <row r="212" spans="2:9" ht="14.4">
      <c r="B212" s="1"/>
      <c r="C212" s="1"/>
      <c r="D212" s="1"/>
      <c r="E212" s="1"/>
      <c r="F212" s="1"/>
      <c r="G212" s="1"/>
      <c r="H212" s="1"/>
      <c r="I212" s="1"/>
    </row>
    <row r="213" spans="2:9" ht="14.4">
      <c r="B213" s="1"/>
      <c r="C213" s="1"/>
      <c r="D213" s="1"/>
      <c r="E213" s="1"/>
      <c r="F213" s="1"/>
      <c r="G213" s="1"/>
      <c r="H213" s="1"/>
      <c r="I213" s="1"/>
    </row>
    <row r="214" spans="2:9" ht="14.4">
      <c r="B214" s="1"/>
      <c r="C214" s="1"/>
      <c r="D214" s="1"/>
      <c r="E214" s="1"/>
      <c r="F214" s="1"/>
      <c r="G214" s="1"/>
      <c r="H214" s="1"/>
      <c r="I214" s="1"/>
    </row>
    <row r="215" spans="2:9" ht="14.4">
      <c r="B215" s="1"/>
      <c r="C215" s="1"/>
      <c r="D215" s="1"/>
      <c r="E215" s="1"/>
      <c r="F215" s="1"/>
      <c r="G215" s="1"/>
      <c r="H215" s="1"/>
      <c r="I215" s="1"/>
    </row>
    <row r="216" spans="2:9" ht="14.4">
      <c r="B216" s="1"/>
      <c r="C216" s="1"/>
      <c r="D216" s="1"/>
      <c r="E216" s="1"/>
      <c r="F216" s="1"/>
      <c r="G216" s="1"/>
      <c r="H216" s="1"/>
      <c r="I216" s="1"/>
    </row>
    <row r="217" spans="2:9" ht="14.4">
      <c r="B217" s="1"/>
      <c r="C217" s="1"/>
      <c r="D217" s="1"/>
      <c r="E217" s="1"/>
      <c r="F217" s="1"/>
      <c r="G217" s="1"/>
      <c r="H217" s="1"/>
      <c r="I217" s="1"/>
    </row>
    <row r="218" spans="2:9" ht="14.4">
      <c r="B218" s="1"/>
      <c r="C218" s="1"/>
      <c r="D218" s="1"/>
      <c r="E218" s="1"/>
      <c r="F218" s="1"/>
      <c r="G218" s="1"/>
      <c r="H218" s="1"/>
      <c r="I218" s="1"/>
    </row>
    <row r="219" spans="2:9" ht="14.4">
      <c r="B219" s="1"/>
      <c r="C219" s="1"/>
      <c r="D219" s="1"/>
      <c r="E219" s="1"/>
      <c r="F219" s="1"/>
      <c r="G219" s="1"/>
      <c r="H219" s="1"/>
      <c r="I219" s="1"/>
    </row>
    <row r="220" spans="2:9" ht="14.4">
      <c r="B220" s="1"/>
      <c r="C220" s="1"/>
      <c r="D220" s="1"/>
      <c r="E220" s="1"/>
      <c r="F220" s="1"/>
      <c r="G220" s="1"/>
      <c r="H220" s="1"/>
      <c r="I220" s="1"/>
    </row>
    <row r="221" spans="2:9" ht="14.4">
      <c r="B221" s="1"/>
      <c r="C221" s="1"/>
      <c r="D221" s="1"/>
      <c r="E221" s="1"/>
      <c r="F221" s="1"/>
      <c r="G221" s="1"/>
      <c r="H221" s="1"/>
      <c r="I221" s="1"/>
    </row>
    <row r="222" spans="2:9" ht="14.4">
      <c r="B222" s="1"/>
      <c r="C222" s="1"/>
      <c r="D222" s="1"/>
      <c r="E222" s="1"/>
      <c r="F222" s="1"/>
      <c r="G222" s="1"/>
      <c r="H222" s="1"/>
      <c r="I222" s="1"/>
    </row>
    <row r="223" spans="2:9" ht="14.4">
      <c r="B223" s="1"/>
      <c r="C223" s="1"/>
      <c r="D223" s="1"/>
      <c r="E223" s="1"/>
      <c r="F223" s="1"/>
      <c r="G223" s="1"/>
      <c r="H223" s="1"/>
      <c r="I223" s="1"/>
    </row>
    <row r="224" spans="2:9" ht="14.4">
      <c r="B224" s="1"/>
      <c r="C224" s="1"/>
      <c r="D224" s="1"/>
      <c r="E224" s="1"/>
      <c r="F224" s="1"/>
      <c r="G224" s="1"/>
      <c r="H224" s="1"/>
      <c r="I224" s="1"/>
    </row>
    <row r="225" spans="2:9" ht="14.4">
      <c r="B225" s="1"/>
      <c r="C225" s="1"/>
      <c r="D225" s="1"/>
      <c r="E225" s="1"/>
      <c r="F225" s="1"/>
      <c r="G225" s="1"/>
      <c r="H225" s="1"/>
      <c r="I225" s="1"/>
    </row>
    <row r="226" spans="2:9" ht="14.4">
      <c r="B226" s="1"/>
      <c r="C226" s="1"/>
      <c r="D226" s="1"/>
      <c r="E226" s="1"/>
      <c r="F226" s="1"/>
      <c r="G226" s="1"/>
      <c r="H226" s="1"/>
      <c r="I226" s="1"/>
    </row>
    <row r="227" spans="2:9" ht="14.4">
      <c r="B227" s="1"/>
      <c r="C227" s="1"/>
      <c r="D227" s="1"/>
      <c r="E227" s="1"/>
      <c r="F227" s="1"/>
      <c r="G227" s="1"/>
      <c r="H227" s="1"/>
      <c r="I227" s="1"/>
    </row>
    <row r="228" spans="2:9" ht="14.4">
      <c r="B228" s="1"/>
      <c r="C228" s="1"/>
      <c r="D228" s="1"/>
      <c r="E228" s="1"/>
      <c r="F228" s="1"/>
      <c r="G228" s="1"/>
      <c r="H228" s="1"/>
      <c r="I228" s="1"/>
    </row>
    <row r="229" spans="2:9" ht="14.4">
      <c r="B229" s="1"/>
      <c r="C229" s="1"/>
      <c r="D229" s="1"/>
      <c r="E229" s="1"/>
      <c r="F229" s="1"/>
      <c r="G229" s="1"/>
      <c r="H229" s="1"/>
      <c r="I229" s="1"/>
    </row>
    <row r="230" spans="2:9" ht="14.4">
      <c r="B230" s="1"/>
      <c r="C230" s="1"/>
      <c r="D230" s="1"/>
      <c r="E230" s="1"/>
      <c r="F230" s="1"/>
      <c r="G230" s="1"/>
      <c r="H230" s="1"/>
      <c r="I230" s="1"/>
    </row>
    <row r="231" spans="2:9" ht="14.4">
      <c r="B231" s="1"/>
      <c r="C231" s="1"/>
      <c r="D231" s="1"/>
      <c r="E231" s="1"/>
      <c r="F231" s="1"/>
      <c r="G231" s="1"/>
      <c r="H231" s="1"/>
      <c r="I231" s="1"/>
    </row>
    <row r="232" spans="2:9" ht="14.4">
      <c r="B232" s="1"/>
      <c r="C232" s="1"/>
      <c r="D232" s="1"/>
      <c r="E232" s="1"/>
      <c r="F232" s="1"/>
      <c r="G232" s="1"/>
      <c r="H232" s="1"/>
      <c r="I232" s="1"/>
    </row>
    <row r="233" spans="2:9" ht="14.4">
      <c r="B233" s="1"/>
      <c r="C233" s="1"/>
      <c r="D233" s="1"/>
      <c r="E233" s="1"/>
      <c r="F233" s="1"/>
      <c r="G233" s="1"/>
      <c r="H233" s="1"/>
      <c r="I233" s="1"/>
    </row>
    <row r="234" spans="2:9" ht="14.4">
      <c r="B234" s="1"/>
      <c r="C234" s="1"/>
      <c r="D234" s="1"/>
      <c r="E234" s="1"/>
      <c r="F234" s="1"/>
      <c r="G234" s="1"/>
      <c r="H234" s="1"/>
      <c r="I234" s="1"/>
    </row>
    <row r="235" spans="2:9" ht="14.4">
      <c r="B235" s="1"/>
      <c r="C235" s="1"/>
      <c r="D235" s="1"/>
      <c r="E235" s="1"/>
      <c r="F235" s="1"/>
      <c r="G235" s="1"/>
      <c r="H235" s="1"/>
      <c r="I235" s="1"/>
    </row>
    <row r="236" spans="2:9" ht="14.4">
      <c r="B236" s="1"/>
      <c r="C236" s="1"/>
      <c r="D236" s="1"/>
      <c r="E236" s="1"/>
      <c r="F236" s="1"/>
      <c r="G236" s="1"/>
      <c r="H236" s="1"/>
      <c r="I236" s="1"/>
    </row>
    <row r="237" spans="2:9" ht="14.4">
      <c r="B237" s="1"/>
      <c r="C237" s="1"/>
      <c r="D237" s="1"/>
      <c r="E237" s="1"/>
      <c r="F237" s="1"/>
      <c r="G237" s="1"/>
      <c r="H237" s="1"/>
      <c r="I237" s="1"/>
    </row>
    <row r="238" spans="2:9" ht="14.4">
      <c r="B238" s="1"/>
      <c r="C238" s="1"/>
      <c r="D238" s="1"/>
      <c r="E238" s="1"/>
      <c r="F238" s="1"/>
      <c r="G238" s="1"/>
      <c r="H238" s="1"/>
      <c r="I238" s="1"/>
    </row>
    <row r="239" spans="2:9" ht="14.4">
      <c r="B239" s="1"/>
      <c r="C239" s="1"/>
      <c r="D239" s="1"/>
      <c r="E239" s="1"/>
      <c r="F239" s="1"/>
      <c r="G239" s="1"/>
      <c r="H239" s="1"/>
      <c r="I239" s="1"/>
    </row>
    <row r="240" spans="2:9" ht="14.4">
      <c r="B240" s="1"/>
      <c r="C240" s="1"/>
      <c r="D240" s="1"/>
      <c r="E240" s="1"/>
      <c r="F240" s="1"/>
      <c r="G240" s="1"/>
      <c r="H240" s="1"/>
      <c r="I240" s="1"/>
    </row>
    <row r="241" spans="2:9" ht="14.4">
      <c r="B241" s="1"/>
      <c r="C241" s="1"/>
      <c r="D241" s="1"/>
      <c r="E241" s="1"/>
      <c r="F241" s="1"/>
      <c r="G241" s="1"/>
      <c r="H241" s="1"/>
      <c r="I241" s="1"/>
    </row>
    <row r="242" spans="2:9" ht="14.4">
      <c r="B242" s="1"/>
      <c r="C242" s="1"/>
      <c r="D242" s="1"/>
      <c r="E242" s="1"/>
      <c r="F242" s="1"/>
      <c r="G242" s="1"/>
      <c r="H242" s="1"/>
      <c r="I242" s="1"/>
    </row>
    <row r="243" spans="2:9" ht="14.4">
      <c r="B243" s="1"/>
      <c r="C243" s="1"/>
      <c r="D243" s="1"/>
      <c r="E243" s="1"/>
      <c r="F243" s="1"/>
      <c r="G243" s="1"/>
      <c r="H243" s="1"/>
      <c r="I243" s="1"/>
    </row>
    <row r="244" spans="2:9" ht="14.4">
      <c r="B244" s="1"/>
      <c r="C244" s="1"/>
      <c r="D244" s="1"/>
      <c r="E244" s="1"/>
      <c r="F244" s="1"/>
      <c r="G244" s="1"/>
      <c r="H244" s="1"/>
      <c r="I244" s="1"/>
    </row>
    <row r="245" spans="2:9" ht="14.4">
      <c r="B245" s="1"/>
      <c r="C245" s="1"/>
      <c r="D245" s="1"/>
      <c r="E245" s="1"/>
      <c r="F245" s="1"/>
      <c r="G245" s="1"/>
      <c r="H245" s="1"/>
      <c r="I245" s="1"/>
    </row>
    <row r="246" spans="2:9" ht="14.4">
      <c r="B246" s="1"/>
      <c r="C246" s="1"/>
      <c r="D246" s="1"/>
      <c r="E246" s="1"/>
      <c r="F246" s="1"/>
      <c r="G246" s="1"/>
      <c r="H246" s="1"/>
      <c r="I246" s="1"/>
    </row>
    <row r="247" spans="2:9" ht="14.4">
      <c r="B247" s="1"/>
      <c r="C247" s="1"/>
      <c r="D247" s="1"/>
      <c r="E247" s="1"/>
      <c r="F247" s="1"/>
      <c r="G247" s="1"/>
      <c r="H247" s="1"/>
      <c r="I247" s="1"/>
    </row>
    <row r="248" spans="2:9" ht="14.4">
      <c r="B248" s="1"/>
      <c r="C248" s="1"/>
      <c r="D248" s="1"/>
      <c r="E248" s="1"/>
      <c r="F248" s="1"/>
      <c r="G248" s="1"/>
      <c r="H248" s="1"/>
      <c r="I248" s="1"/>
    </row>
    <row r="249" spans="2:9" ht="14.4">
      <c r="B249" s="1"/>
      <c r="C249" s="1"/>
      <c r="D249" s="1"/>
      <c r="E249" s="1"/>
      <c r="F249" s="1"/>
      <c r="G249" s="1"/>
      <c r="H249" s="1"/>
      <c r="I249" s="1"/>
    </row>
    <row r="250" spans="2:9" ht="14.4">
      <c r="B250" s="1"/>
      <c r="C250" s="1"/>
      <c r="D250" s="1"/>
      <c r="E250" s="1"/>
      <c r="F250" s="1"/>
      <c r="G250" s="1"/>
      <c r="H250" s="1"/>
      <c r="I250" s="1"/>
    </row>
    <row r="251" spans="2:9" ht="14.4">
      <c r="B251" s="1"/>
      <c r="C251" s="1"/>
      <c r="D251" s="1"/>
      <c r="E251" s="1"/>
      <c r="F251" s="1"/>
      <c r="G251" s="1"/>
      <c r="H251" s="1"/>
      <c r="I251" s="1"/>
    </row>
    <row r="252" spans="2:9" ht="14.4">
      <c r="B252" s="1"/>
      <c r="C252" s="1"/>
      <c r="D252" s="1"/>
      <c r="E252" s="1"/>
      <c r="F252" s="1"/>
      <c r="G252" s="1"/>
      <c r="H252" s="1"/>
      <c r="I252" s="1"/>
    </row>
    <row r="253" spans="2:9" ht="14.4">
      <c r="B253" s="1"/>
      <c r="C253" s="1"/>
      <c r="D253" s="1"/>
      <c r="E253" s="1"/>
      <c r="F253" s="1"/>
      <c r="G253" s="1"/>
      <c r="H253" s="1"/>
      <c r="I253" s="1"/>
    </row>
    <row r="254" spans="2:9" ht="14.4">
      <c r="B254" s="1"/>
      <c r="C254" s="1"/>
      <c r="D254" s="1"/>
      <c r="E254" s="1"/>
      <c r="F254" s="1"/>
      <c r="G254" s="1"/>
      <c r="H254" s="1"/>
      <c r="I254" s="1"/>
    </row>
    <row r="255" spans="2:9" ht="14.4">
      <c r="B255" s="1"/>
      <c r="C255" s="1"/>
      <c r="D255" s="1"/>
      <c r="E255" s="1"/>
      <c r="F255" s="1"/>
      <c r="G255" s="1"/>
      <c r="H255" s="1"/>
      <c r="I255" s="1"/>
    </row>
    <row r="256" spans="2:9" ht="14.4">
      <c r="B256" s="1"/>
      <c r="C256" s="1"/>
      <c r="D256" s="1"/>
      <c r="E256" s="1"/>
      <c r="F256" s="1"/>
      <c r="G256" s="1"/>
      <c r="H256" s="1"/>
      <c r="I256" s="1"/>
    </row>
    <row r="257" spans="2:9" ht="14.4">
      <c r="B257" s="1"/>
      <c r="C257" s="1"/>
      <c r="D257" s="1"/>
      <c r="E257" s="1"/>
      <c r="F257" s="1"/>
      <c r="G257" s="1"/>
      <c r="H257" s="1"/>
      <c r="I257" s="1"/>
    </row>
    <row r="258" spans="2:9" ht="14.4">
      <c r="B258" s="1"/>
      <c r="C258" s="1"/>
      <c r="D258" s="1"/>
      <c r="E258" s="1"/>
      <c r="F258" s="1"/>
      <c r="G258" s="1"/>
      <c r="H258" s="1"/>
      <c r="I258" s="1"/>
    </row>
    <row r="259" spans="2:9" ht="14.4">
      <c r="B259" s="1"/>
      <c r="C259" s="1"/>
      <c r="D259" s="1"/>
      <c r="E259" s="1"/>
      <c r="F259" s="1"/>
      <c r="G259" s="1"/>
      <c r="H259" s="1"/>
      <c r="I259" s="1"/>
    </row>
    <row r="260" spans="2:9" ht="14.4">
      <c r="B260" s="1"/>
      <c r="C260" s="1"/>
      <c r="D260" s="1"/>
      <c r="E260" s="1"/>
      <c r="F260" s="1"/>
      <c r="G260" s="1"/>
      <c r="H260" s="1"/>
      <c r="I260" s="1"/>
    </row>
    <row r="261" spans="2:9" ht="14.4">
      <c r="B261" s="1"/>
      <c r="C261" s="1"/>
      <c r="D261" s="1"/>
      <c r="E261" s="1"/>
      <c r="F261" s="1"/>
      <c r="G261" s="1"/>
      <c r="H261" s="1"/>
      <c r="I261" s="1"/>
    </row>
    <row r="262" spans="2:9" ht="14.4">
      <c r="B262" s="1"/>
      <c r="C262" s="1"/>
      <c r="D262" s="1"/>
      <c r="E262" s="1"/>
      <c r="F262" s="1"/>
      <c r="G262" s="1"/>
      <c r="H262" s="1"/>
      <c r="I262" s="1"/>
    </row>
    <row r="263" spans="2:9" ht="14.4">
      <c r="B263" s="1"/>
      <c r="C263" s="1"/>
      <c r="D263" s="1"/>
      <c r="E263" s="1"/>
      <c r="F263" s="1"/>
      <c r="G263" s="1"/>
      <c r="H263" s="1"/>
      <c r="I263" s="1"/>
    </row>
    <row r="264" spans="2:9" ht="14.4">
      <c r="B264" s="1"/>
      <c r="C264" s="1"/>
      <c r="D264" s="1"/>
      <c r="E264" s="1"/>
      <c r="F264" s="1"/>
      <c r="G264" s="1"/>
      <c r="H264" s="1"/>
      <c r="I264" s="1"/>
    </row>
    <row r="265" spans="2:9" ht="14.4">
      <c r="B265" s="1"/>
      <c r="C265" s="1"/>
      <c r="D265" s="1"/>
      <c r="E265" s="1"/>
      <c r="F265" s="1"/>
      <c r="G265" s="1"/>
      <c r="H265" s="1"/>
      <c r="I265" s="1"/>
    </row>
    <row r="266" spans="2:9" ht="14.4">
      <c r="B266" s="1"/>
      <c r="C266" s="1"/>
      <c r="D266" s="1"/>
      <c r="E266" s="1"/>
      <c r="F266" s="1"/>
      <c r="G266" s="1"/>
      <c r="H266" s="1"/>
      <c r="I266" s="1"/>
    </row>
    <row r="267" spans="2:9" ht="14.4">
      <c r="B267" s="1"/>
      <c r="C267" s="1"/>
      <c r="D267" s="1"/>
      <c r="E267" s="1"/>
      <c r="F267" s="1"/>
      <c r="G267" s="1"/>
      <c r="H267" s="1"/>
      <c r="I267" s="1"/>
    </row>
    <row r="268" spans="2:9" ht="14.4">
      <c r="B268" s="1"/>
      <c r="C268" s="1"/>
      <c r="D268" s="1"/>
      <c r="E268" s="1"/>
      <c r="F268" s="1"/>
      <c r="G268" s="1"/>
      <c r="H268" s="1"/>
      <c r="I268" s="1"/>
    </row>
    <row r="269" spans="2:9" ht="14.4">
      <c r="B269" s="1"/>
      <c r="C269" s="1"/>
      <c r="D269" s="1"/>
      <c r="E269" s="1"/>
      <c r="F269" s="1"/>
      <c r="G269" s="1"/>
      <c r="H269" s="1"/>
      <c r="I269" s="1"/>
    </row>
    <row r="270" spans="2:9" ht="14.4">
      <c r="B270" s="1"/>
      <c r="C270" s="1"/>
      <c r="D270" s="1"/>
      <c r="E270" s="1"/>
      <c r="F270" s="1"/>
      <c r="G270" s="1"/>
      <c r="H270" s="1"/>
      <c r="I270" s="1"/>
    </row>
    <row r="271" spans="2:9" ht="14.4">
      <c r="B271" s="1"/>
      <c r="C271" s="1"/>
      <c r="D271" s="1"/>
      <c r="E271" s="1"/>
      <c r="F271" s="1"/>
      <c r="G271" s="1"/>
      <c r="H271" s="1"/>
      <c r="I271" s="1"/>
    </row>
    <row r="272" spans="2:9" ht="14.4">
      <c r="B272" s="1"/>
      <c r="C272" s="1"/>
      <c r="D272" s="1"/>
      <c r="E272" s="1"/>
      <c r="F272" s="1"/>
      <c r="G272" s="1"/>
      <c r="H272" s="1"/>
      <c r="I272" s="1"/>
    </row>
    <row r="273" spans="2:9" ht="14.4">
      <c r="B273" s="1"/>
      <c r="C273" s="1"/>
      <c r="D273" s="1"/>
      <c r="E273" s="1"/>
      <c r="F273" s="1"/>
      <c r="G273" s="1"/>
      <c r="H273" s="1"/>
      <c r="I273" s="1"/>
    </row>
    <row r="274" spans="2:9" ht="14.4">
      <c r="B274" s="1"/>
      <c r="C274" s="1"/>
      <c r="D274" s="1"/>
      <c r="E274" s="1"/>
      <c r="F274" s="1"/>
      <c r="G274" s="1"/>
      <c r="H274" s="1"/>
      <c r="I274" s="1"/>
    </row>
    <row r="275" spans="2:9" ht="14.4">
      <c r="B275" s="1"/>
      <c r="C275" s="1"/>
      <c r="D275" s="1"/>
      <c r="E275" s="1"/>
      <c r="F275" s="1"/>
      <c r="G275" s="1"/>
      <c r="H275" s="1"/>
      <c r="I275" s="1"/>
    </row>
    <row r="276" spans="2:9" ht="14.4">
      <c r="B276" s="1"/>
      <c r="C276" s="1"/>
      <c r="D276" s="1"/>
      <c r="E276" s="1"/>
      <c r="F276" s="1"/>
      <c r="G276" s="1"/>
      <c r="H276" s="1"/>
      <c r="I276" s="1"/>
    </row>
    <row r="277" spans="2:9" ht="14.4">
      <c r="B277" s="1"/>
      <c r="C277" s="1"/>
      <c r="D277" s="1"/>
      <c r="E277" s="1"/>
      <c r="F277" s="1"/>
      <c r="G277" s="1"/>
      <c r="H277" s="1"/>
      <c r="I277" s="1"/>
    </row>
    <row r="278" spans="2:9" ht="14.4">
      <c r="B278" s="1"/>
      <c r="C278" s="1"/>
      <c r="D278" s="1"/>
      <c r="E278" s="1"/>
      <c r="F278" s="1"/>
      <c r="G278" s="1"/>
      <c r="H278" s="1"/>
      <c r="I278" s="1"/>
    </row>
    <row r="279" spans="2:9" ht="14.4">
      <c r="B279" s="1"/>
      <c r="C279" s="1"/>
      <c r="D279" s="1"/>
      <c r="E279" s="1"/>
      <c r="F279" s="1"/>
      <c r="G279" s="1"/>
      <c r="H279" s="1"/>
      <c r="I279" s="1"/>
    </row>
    <row r="280" spans="2:9" ht="14.4">
      <c r="B280" s="1"/>
      <c r="C280" s="1"/>
      <c r="D280" s="1"/>
      <c r="E280" s="1"/>
      <c r="F280" s="1"/>
      <c r="G280" s="1"/>
      <c r="H280" s="1"/>
      <c r="I280" s="1"/>
    </row>
    <row r="281" spans="2:9" ht="14.4">
      <c r="B281" s="1"/>
      <c r="C281" s="1"/>
      <c r="D281" s="1"/>
      <c r="E281" s="1"/>
      <c r="F281" s="1"/>
      <c r="G281" s="1"/>
      <c r="H281" s="1"/>
      <c r="I281" s="1"/>
    </row>
    <row r="282" spans="2:9" ht="14.4">
      <c r="B282" s="1"/>
      <c r="C282" s="1"/>
      <c r="D282" s="1"/>
      <c r="E282" s="1"/>
      <c r="F282" s="1"/>
      <c r="G282" s="1"/>
      <c r="H282" s="1"/>
      <c r="I282" s="1"/>
    </row>
    <row r="283" spans="2:9" ht="14.4">
      <c r="B283" s="1"/>
      <c r="C283" s="1"/>
      <c r="D283" s="1"/>
      <c r="E283" s="1"/>
      <c r="F283" s="1"/>
      <c r="G283" s="1"/>
      <c r="H283" s="1"/>
      <c r="I283" s="1"/>
    </row>
    <row r="284" spans="2:9" ht="14.4">
      <c r="B284" s="1"/>
      <c r="C284" s="1"/>
      <c r="D284" s="1"/>
      <c r="E284" s="1"/>
      <c r="F284" s="1"/>
      <c r="G284" s="1"/>
      <c r="H284" s="1"/>
      <c r="I284" s="1"/>
    </row>
    <row r="285" spans="2:9" ht="14.4">
      <c r="B285" s="1"/>
      <c r="C285" s="1"/>
      <c r="D285" s="1"/>
      <c r="E285" s="1"/>
      <c r="F285" s="1"/>
      <c r="G285" s="1"/>
      <c r="H285" s="1"/>
      <c r="I285" s="1"/>
    </row>
    <row r="286" spans="2:9" ht="14.4">
      <c r="B286" s="1"/>
      <c r="C286" s="1"/>
      <c r="D286" s="1"/>
      <c r="E286" s="1"/>
      <c r="F286" s="1"/>
      <c r="G286" s="1"/>
      <c r="H286" s="1"/>
      <c r="I286" s="1"/>
    </row>
    <row r="287" spans="2:9" ht="14.4">
      <c r="B287" s="1"/>
      <c r="C287" s="1"/>
      <c r="D287" s="1"/>
      <c r="E287" s="1"/>
      <c r="F287" s="1"/>
      <c r="G287" s="1"/>
      <c r="H287" s="1"/>
      <c r="I287" s="1"/>
    </row>
    <row r="288" spans="2:9" ht="14.4">
      <c r="B288" s="1"/>
      <c r="C288" s="1"/>
      <c r="D288" s="1"/>
      <c r="E288" s="1"/>
      <c r="F288" s="1"/>
      <c r="G288" s="1"/>
      <c r="H288" s="1"/>
      <c r="I288" s="1"/>
    </row>
    <row r="289" spans="2:9" ht="14.4">
      <c r="B289" s="1"/>
      <c r="C289" s="1"/>
      <c r="D289" s="1"/>
      <c r="E289" s="1"/>
      <c r="F289" s="1"/>
      <c r="G289" s="1"/>
      <c r="H289" s="1"/>
      <c r="I289" s="1"/>
    </row>
    <row r="290" spans="2:9" ht="14.4">
      <c r="B290" s="1"/>
      <c r="C290" s="1"/>
      <c r="D290" s="1"/>
      <c r="E290" s="1"/>
      <c r="F290" s="1"/>
      <c r="G290" s="1"/>
      <c r="H290" s="1"/>
      <c r="I290" s="1"/>
    </row>
    <row r="291" spans="2:9" ht="14.4">
      <c r="B291" s="1"/>
      <c r="C291" s="1"/>
      <c r="D291" s="1"/>
      <c r="E291" s="1"/>
      <c r="F291" s="1"/>
      <c r="G291" s="1"/>
      <c r="H291" s="1"/>
      <c r="I291" s="1"/>
    </row>
    <row r="292" spans="2:9" ht="14.4">
      <c r="B292" s="1"/>
      <c r="C292" s="1"/>
      <c r="D292" s="1"/>
      <c r="E292" s="1"/>
      <c r="F292" s="1"/>
      <c r="G292" s="1"/>
      <c r="H292" s="1"/>
      <c r="I292" s="1"/>
    </row>
    <row r="293" spans="2:9" ht="14.4">
      <c r="B293" s="1"/>
      <c r="C293" s="1"/>
      <c r="D293" s="1"/>
      <c r="E293" s="1"/>
      <c r="F293" s="1"/>
      <c r="G293" s="1"/>
      <c r="H293" s="1"/>
      <c r="I293" s="1"/>
    </row>
    <row r="294" spans="2:9" ht="14.4">
      <c r="B294" s="1"/>
      <c r="C294" s="1"/>
      <c r="D294" s="1"/>
      <c r="E294" s="1"/>
      <c r="F294" s="1"/>
      <c r="G294" s="1"/>
      <c r="H294" s="1"/>
      <c r="I294" s="1"/>
    </row>
    <row r="295" spans="2:9" ht="14.4">
      <c r="B295" s="1"/>
      <c r="C295" s="1"/>
      <c r="D295" s="1"/>
      <c r="E295" s="1"/>
      <c r="F295" s="1"/>
      <c r="G295" s="1"/>
      <c r="H295" s="1"/>
      <c r="I295" s="1"/>
    </row>
    <row r="296" spans="2:9" ht="14.4">
      <c r="B296" s="1"/>
      <c r="C296" s="1"/>
      <c r="D296" s="1"/>
      <c r="E296" s="1"/>
      <c r="F296" s="1"/>
      <c r="G296" s="1"/>
      <c r="H296" s="1"/>
      <c r="I296" s="1"/>
    </row>
    <row r="297" spans="2:9" ht="14.4">
      <c r="B297" s="1"/>
      <c r="C297" s="1"/>
      <c r="D297" s="1"/>
      <c r="E297" s="1"/>
      <c r="F297" s="1"/>
      <c r="G297" s="1"/>
      <c r="H297" s="1"/>
      <c r="I297" s="1"/>
    </row>
    <row r="298" spans="2:9" ht="14.4">
      <c r="B298" s="1"/>
      <c r="C298" s="1"/>
      <c r="D298" s="1"/>
      <c r="E298" s="1"/>
      <c r="F298" s="1"/>
      <c r="G298" s="1"/>
      <c r="H298" s="1"/>
      <c r="I298" s="1"/>
    </row>
    <row r="299" spans="2:9" ht="14.4">
      <c r="B299" s="1"/>
      <c r="C299" s="1"/>
      <c r="D299" s="1"/>
      <c r="E299" s="1"/>
      <c r="F299" s="1"/>
      <c r="G299" s="1"/>
      <c r="H299" s="1"/>
      <c r="I299" s="1"/>
    </row>
    <row r="300" spans="2:9" ht="14.4">
      <c r="B300" s="1"/>
      <c r="C300" s="1"/>
      <c r="D300" s="1"/>
      <c r="E300" s="1"/>
      <c r="F300" s="1"/>
      <c r="G300" s="1"/>
      <c r="H300" s="1"/>
      <c r="I300" s="1"/>
    </row>
    <row r="301" spans="2:9" ht="14.4">
      <c r="B301" s="1"/>
      <c r="C301" s="1"/>
      <c r="D301" s="1"/>
      <c r="E301" s="1"/>
      <c r="F301" s="1"/>
      <c r="G301" s="1"/>
      <c r="H301" s="1"/>
      <c r="I301" s="1"/>
    </row>
    <row r="302" spans="2:9" ht="14.4">
      <c r="B302" s="1"/>
      <c r="C302" s="1"/>
      <c r="D302" s="1"/>
      <c r="E302" s="1"/>
      <c r="F302" s="1"/>
      <c r="G302" s="1"/>
      <c r="H302" s="1"/>
      <c r="I302" s="1"/>
    </row>
    <row r="303" spans="2:9" ht="14.4">
      <c r="B303" s="1"/>
      <c r="C303" s="1"/>
      <c r="D303" s="1"/>
      <c r="E303" s="1"/>
      <c r="F303" s="1"/>
      <c r="G303" s="1"/>
      <c r="H303" s="1"/>
      <c r="I303" s="1"/>
    </row>
    <row r="304" spans="2:9" ht="14.4">
      <c r="B304" s="1"/>
      <c r="C304" s="1"/>
      <c r="D304" s="1"/>
      <c r="E304" s="1"/>
      <c r="F304" s="1"/>
      <c r="G304" s="1"/>
      <c r="H304" s="1"/>
      <c r="I304" s="1"/>
    </row>
    <row r="305" spans="2:9" ht="14.4">
      <c r="B305" s="1"/>
      <c r="C305" s="1"/>
      <c r="D305" s="1"/>
      <c r="E305" s="1"/>
      <c r="F305" s="1"/>
      <c r="G305" s="1"/>
      <c r="H305" s="1"/>
      <c r="I305" s="1"/>
    </row>
    <row r="306" spans="2:9" ht="14.4">
      <c r="B306" s="1"/>
      <c r="C306" s="1"/>
      <c r="D306" s="1"/>
      <c r="E306" s="1"/>
      <c r="F306" s="1"/>
      <c r="G306" s="1"/>
      <c r="H306" s="1"/>
      <c r="I306" s="1"/>
    </row>
    <row r="307" spans="2:9" ht="14.4">
      <c r="B307" s="1"/>
      <c r="C307" s="1"/>
      <c r="D307" s="1"/>
      <c r="E307" s="1"/>
      <c r="F307" s="1"/>
      <c r="G307" s="1"/>
      <c r="H307" s="1"/>
      <c r="I307" s="1"/>
    </row>
    <row r="308" spans="2:9" ht="14.4">
      <c r="B308" s="1"/>
      <c r="C308" s="1"/>
      <c r="D308" s="1"/>
      <c r="E308" s="1"/>
      <c r="F308" s="1"/>
      <c r="G308" s="1"/>
      <c r="H308" s="1"/>
      <c r="I308" s="1"/>
    </row>
    <row r="309" spans="2:9" ht="14.4">
      <c r="B309" s="1"/>
      <c r="C309" s="1"/>
      <c r="D309" s="1"/>
      <c r="E309" s="1"/>
      <c r="F309" s="1"/>
      <c r="G309" s="1"/>
      <c r="H309" s="1"/>
      <c r="I309" s="1"/>
    </row>
    <row r="310" spans="2:9" ht="14.4">
      <c r="B310" s="1"/>
      <c r="C310" s="1"/>
      <c r="D310" s="1"/>
      <c r="E310" s="1"/>
      <c r="F310" s="1"/>
      <c r="G310" s="1"/>
      <c r="H310" s="1"/>
      <c r="I310" s="1"/>
    </row>
    <row r="311" spans="2:9" ht="14.4">
      <c r="B311" s="1"/>
      <c r="C311" s="1"/>
      <c r="D311" s="1"/>
      <c r="E311" s="1"/>
      <c r="F311" s="1"/>
      <c r="G311" s="1"/>
      <c r="H311" s="1"/>
      <c r="I311" s="1"/>
    </row>
    <row r="312" spans="2:9" ht="14.4">
      <c r="B312" s="1"/>
      <c r="C312" s="1"/>
      <c r="D312" s="1"/>
      <c r="E312" s="1"/>
      <c r="F312" s="1"/>
      <c r="G312" s="1"/>
      <c r="H312" s="1"/>
      <c r="I312" s="1"/>
    </row>
    <row r="313" spans="2:9" ht="14.4">
      <c r="B313" s="1"/>
      <c r="C313" s="1"/>
      <c r="D313" s="1"/>
      <c r="E313" s="1"/>
      <c r="F313" s="1"/>
      <c r="G313" s="1"/>
      <c r="H313" s="1"/>
      <c r="I313" s="1"/>
    </row>
    <row r="314" spans="2:9" ht="14.4">
      <c r="B314" s="1"/>
      <c r="C314" s="1"/>
      <c r="D314" s="1"/>
      <c r="E314" s="1"/>
      <c r="F314" s="1"/>
      <c r="G314" s="1"/>
      <c r="H314" s="1"/>
      <c r="I314" s="1"/>
    </row>
    <row r="315" spans="2:9" ht="14.4">
      <c r="B315" s="1"/>
      <c r="C315" s="1"/>
      <c r="D315" s="1"/>
      <c r="E315" s="1"/>
      <c r="F315" s="1"/>
      <c r="G315" s="1"/>
      <c r="H315" s="1"/>
      <c r="I315" s="1"/>
    </row>
    <row r="316" spans="2:9" ht="14.4">
      <c r="B316" s="1"/>
      <c r="C316" s="1"/>
      <c r="D316" s="1"/>
      <c r="E316" s="1"/>
      <c r="F316" s="1"/>
      <c r="G316" s="1"/>
      <c r="H316" s="1"/>
      <c r="I316" s="1"/>
    </row>
    <row r="317" spans="2:9" ht="14.4">
      <c r="B317" s="1"/>
      <c r="C317" s="1"/>
      <c r="D317" s="1"/>
      <c r="E317" s="1"/>
      <c r="F317" s="1"/>
      <c r="G317" s="1"/>
      <c r="H317" s="1"/>
      <c r="I317" s="1"/>
    </row>
    <row r="318" spans="2:9" ht="14.4">
      <c r="B318" s="1"/>
      <c r="C318" s="1"/>
      <c r="D318" s="1"/>
      <c r="E318" s="1"/>
      <c r="F318" s="1"/>
      <c r="G318" s="1"/>
      <c r="H318" s="1"/>
      <c r="I318" s="1"/>
    </row>
    <row r="319" spans="2:9" ht="14.4">
      <c r="B319" s="1"/>
      <c r="C319" s="1"/>
      <c r="D319" s="1"/>
      <c r="E319" s="1"/>
      <c r="F319" s="1"/>
      <c r="G319" s="1"/>
      <c r="H319" s="1"/>
      <c r="I319" s="1"/>
    </row>
    <row r="320" spans="2:9" ht="14.4">
      <c r="B320" s="1"/>
      <c r="C320" s="1"/>
      <c r="D320" s="1"/>
      <c r="E320" s="1"/>
      <c r="F320" s="1"/>
      <c r="G320" s="1"/>
      <c r="H320" s="1"/>
      <c r="I320" s="1"/>
    </row>
    <row r="321" spans="2:9" ht="14.4">
      <c r="B321" s="1"/>
      <c r="C321" s="1"/>
      <c r="D321" s="1"/>
      <c r="E321" s="1"/>
      <c r="F321" s="1"/>
      <c r="G321" s="1"/>
      <c r="H321" s="1"/>
      <c r="I321" s="1"/>
    </row>
    <row r="322" spans="2:9" ht="14.4">
      <c r="B322" s="1"/>
      <c r="C322" s="1"/>
      <c r="D322" s="1"/>
      <c r="E322" s="1"/>
      <c r="F322" s="1"/>
      <c r="G322" s="1"/>
      <c r="H322" s="1"/>
      <c r="I322" s="1"/>
    </row>
    <row r="323" spans="2:9" ht="14.4">
      <c r="B323" s="1"/>
      <c r="C323" s="1"/>
      <c r="D323" s="1"/>
      <c r="E323" s="1"/>
      <c r="F323" s="1"/>
      <c r="G323" s="1"/>
      <c r="H323" s="1"/>
      <c r="I323" s="1"/>
    </row>
    <row r="324" spans="2:9" ht="14.4">
      <c r="B324" s="1"/>
      <c r="C324" s="1"/>
      <c r="D324" s="1"/>
      <c r="E324" s="1"/>
      <c r="F324" s="1"/>
      <c r="G324" s="1"/>
      <c r="H324" s="1"/>
      <c r="I324" s="1"/>
    </row>
    <row r="325" spans="2:9" ht="14.4">
      <c r="B325" s="1"/>
      <c r="C325" s="1"/>
      <c r="D325" s="1"/>
      <c r="E325" s="1"/>
      <c r="F325" s="1"/>
      <c r="G325" s="1"/>
      <c r="H325" s="1"/>
      <c r="I325" s="1"/>
    </row>
    <row r="326" spans="2:9" ht="14.4">
      <c r="B326" s="1"/>
      <c r="C326" s="1"/>
      <c r="D326" s="1"/>
      <c r="E326" s="1"/>
      <c r="F326" s="1"/>
      <c r="G326" s="1"/>
      <c r="H326" s="1"/>
      <c r="I326" s="1"/>
    </row>
    <row r="327" spans="2:9" ht="14.4">
      <c r="B327" s="1"/>
      <c r="C327" s="1"/>
      <c r="D327" s="1"/>
      <c r="E327" s="1"/>
      <c r="F327" s="1"/>
      <c r="G327" s="1"/>
      <c r="H327" s="1"/>
      <c r="I327" s="1"/>
    </row>
    <row r="328" spans="2:9" ht="14.4">
      <c r="B328" s="1"/>
      <c r="C328" s="1"/>
      <c r="D328" s="1"/>
      <c r="E328" s="1"/>
      <c r="F328" s="1"/>
      <c r="G328" s="1"/>
      <c r="H328" s="1"/>
      <c r="I328" s="1"/>
    </row>
    <row r="329" spans="2:9" ht="14.4">
      <c r="B329" s="1"/>
      <c r="C329" s="1"/>
      <c r="D329" s="1"/>
      <c r="E329" s="1"/>
      <c r="F329" s="1"/>
      <c r="G329" s="1"/>
      <c r="H329" s="1"/>
      <c r="I329" s="1"/>
    </row>
    <row r="330" spans="2:9" ht="14.4">
      <c r="B330" s="1"/>
      <c r="C330" s="1"/>
      <c r="D330" s="1"/>
      <c r="E330" s="1"/>
      <c r="F330" s="1"/>
      <c r="G330" s="1"/>
      <c r="H330" s="1"/>
      <c r="I330" s="1"/>
    </row>
    <row r="331" spans="2:9" ht="14.4">
      <c r="B331" s="1"/>
      <c r="C331" s="1"/>
      <c r="D331" s="1"/>
      <c r="E331" s="1"/>
      <c r="F331" s="1"/>
      <c r="G331" s="1"/>
      <c r="H331" s="1"/>
      <c r="I331" s="1"/>
    </row>
    <row r="332" spans="2:9" ht="14.4">
      <c r="B332" s="1"/>
      <c r="C332" s="1"/>
      <c r="D332" s="1"/>
      <c r="E332" s="1"/>
      <c r="F332" s="1"/>
      <c r="G332" s="1"/>
      <c r="H332" s="1"/>
      <c r="I332" s="1"/>
    </row>
    <row r="333" spans="2:9" ht="14.4">
      <c r="B333" s="1"/>
      <c r="C333" s="1"/>
      <c r="D333" s="1"/>
      <c r="E333" s="1"/>
      <c r="F333" s="1"/>
      <c r="G333" s="1"/>
      <c r="H333" s="1"/>
      <c r="I333" s="1"/>
    </row>
    <row r="334" spans="2:9" ht="14.4">
      <c r="B334" s="1"/>
      <c r="C334" s="1"/>
      <c r="D334" s="1"/>
      <c r="E334" s="1"/>
      <c r="F334" s="1"/>
      <c r="G334" s="1"/>
      <c r="H334" s="1"/>
      <c r="I334" s="1"/>
    </row>
    <row r="335" spans="2:9" ht="14.4">
      <c r="B335" s="1"/>
      <c r="C335" s="1"/>
      <c r="D335" s="1"/>
      <c r="E335" s="1"/>
      <c r="F335" s="1"/>
      <c r="G335" s="1"/>
      <c r="H335" s="1"/>
      <c r="I335" s="1"/>
    </row>
    <row r="336" spans="2:9" ht="14.4">
      <c r="B336" s="1"/>
      <c r="C336" s="1"/>
      <c r="D336" s="1"/>
      <c r="E336" s="1"/>
      <c r="F336" s="1"/>
      <c r="G336" s="1"/>
      <c r="H336" s="1"/>
      <c r="I336" s="1"/>
    </row>
    <row r="337" spans="2:9" ht="14.4">
      <c r="B337" s="1"/>
      <c r="C337" s="1"/>
      <c r="D337" s="1"/>
      <c r="E337" s="1"/>
      <c r="F337" s="1"/>
      <c r="G337" s="1"/>
      <c r="H337" s="1"/>
      <c r="I337" s="1"/>
    </row>
    <row r="338" spans="2:9" ht="14.4">
      <c r="B338" s="1"/>
      <c r="C338" s="1"/>
      <c r="D338" s="1"/>
      <c r="E338" s="1"/>
      <c r="F338" s="1"/>
      <c r="G338" s="1"/>
      <c r="H338" s="1"/>
      <c r="I338" s="1"/>
    </row>
    <row r="339" spans="2:9" ht="14.4">
      <c r="B339" s="1"/>
      <c r="C339" s="1"/>
      <c r="D339" s="1"/>
      <c r="E339" s="1"/>
      <c r="F339" s="1"/>
      <c r="G339" s="1"/>
      <c r="H339" s="1"/>
      <c r="I339" s="1"/>
    </row>
    <row r="340" spans="2:9" ht="14.4">
      <c r="B340" s="1"/>
      <c r="C340" s="1"/>
      <c r="D340" s="1"/>
      <c r="E340" s="1"/>
      <c r="F340" s="1"/>
      <c r="G340" s="1"/>
      <c r="H340" s="1"/>
      <c r="I340" s="1"/>
    </row>
    <row r="341" spans="2:9" ht="14.4">
      <c r="B341" s="1"/>
      <c r="C341" s="1"/>
      <c r="D341" s="1"/>
      <c r="E341" s="1"/>
      <c r="F341" s="1"/>
      <c r="G341" s="1"/>
      <c r="H341" s="1"/>
      <c r="I341" s="1"/>
    </row>
    <row r="342" spans="2:9" ht="14.4">
      <c r="B342" s="1"/>
      <c r="C342" s="1"/>
      <c r="D342" s="1"/>
      <c r="E342" s="1"/>
      <c r="F342" s="1"/>
      <c r="G342" s="1"/>
      <c r="H342" s="1"/>
      <c r="I342" s="1"/>
    </row>
    <row r="343" spans="2:9" ht="14.4">
      <c r="B343" s="1"/>
      <c r="C343" s="1"/>
      <c r="D343" s="1"/>
      <c r="E343" s="1"/>
      <c r="F343" s="1"/>
      <c r="G343" s="1"/>
      <c r="H343" s="1"/>
      <c r="I343" s="1"/>
    </row>
    <row r="344" spans="2:9" ht="14.4">
      <c r="B344" s="1"/>
      <c r="C344" s="1"/>
      <c r="D344" s="1"/>
      <c r="E344" s="1"/>
      <c r="F344" s="1"/>
      <c r="G344" s="1"/>
      <c r="H344" s="1"/>
      <c r="I344" s="1"/>
    </row>
    <row r="345" spans="2:9" ht="14.4">
      <c r="B345" s="1"/>
      <c r="C345" s="1"/>
      <c r="D345" s="1"/>
      <c r="E345" s="1"/>
      <c r="F345" s="1"/>
      <c r="G345" s="1"/>
      <c r="H345" s="1"/>
      <c r="I345" s="1"/>
    </row>
    <row r="346" spans="2:9" ht="14.4">
      <c r="B346" s="1"/>
      <c r="C346" s="1"/>
      <c r="D346" s="1"/>
      <c r="E346" s="1"/>
      <c r="F346" s="1"/>
      <c r="G346" s="1"/>
      <c r="H346" s="1"/>
      <c r="I346" s="1"/>
    </row>
    <row r="347" spans="2:9" ht="14.4">
      <c r="B347" s="1"/>
      <c r="C347" s="1"/>
      <c r="D347" s="1"/>
      <c r="E347" s="1"/>
      <c r="F347" s="1"/>
      <c r="G347" s="1"/>
      <c r="H347" s="1"/>
      <c r="I347" s="1"/>
    </row>
    <row r="348" spans="2:9" ht="14.4">
      <c r="B348" s="1"/>
      <c r="C348" s="1"/>
      <c r="D348" s="1"/>
      <c r="E348" s="1"/>
      <c r="F348" s="1"/>
      <c r="G348" s="1"/>
      <c r="H348" s="1"/>
      <c r="I348" s="1"/>
    </row>
    <row r="349" spans="2:9" ht="14.4">
      <c r="B349" s="1"/>
      <c r="C349" s="1"/>
      <c r="D349" s="1"/>
      <c r="E349" s="1"/>
      <c r="F349" s="1"/>
      <c r="G349" s="1"/>
      <c r="H349" s="1"/>
      <c r="I349" s="1"/>
    </row>
    <row r="350" spans="2:9" ht="14.4">
      <c r="B350" s="1"/>
      <c r="C350" s="1"/>
      <c r="D350" s="1"/>
      <c r="E350" s="1"/>
      <c r="F350" s="1"/>
      <c r="G350" s="1"/>
      <c r="H350" s="1"/>
      <c r="I350" s="1"/>
    </row>
    <row r="351" spans="2:9" ht="14.4">
      <c r="B351" s="1"/>
      <c r="C351" s="1"/>
      <c r="D351" s="1"/>
      <c r="E351" s="1"/>
      <c r="F351" s="1"/>
      <c r="G351" s="1"/>
      <c r="H351" s="1"/>
      <c r="I351" s="1"/>
    </row>
    <row r="352" spans="2:9" ht="14.4">
      <c r="B352" s="1"/>
      <c r="C352" s="1"/>
      <c r="D352" s="1"/>
      <c r="E352" s="1"/>
      <c r="F352" s="1"/>
      <c r="G352" s="1"/>
      <c r="H352" s="1"/>
      <c r="I352" s="1"/>
    </row>
    <row r="353" spans="2:9" ht="14.4">
      <c r="B353" s="1"/>
      <c r="C353" s="1"/>
      <c r="D353" s="1"/>
      <c r="E353" s="1"/>
      <c r="F353" s="1"/>
      <c r="G353" s="1"/>
      <c r="H353" s="1"/>
      <c r="I353" s="1"/>
    </row>
    <row r="354" spans="2:9" ht="14.4">
      <c r="B354" s="1"/>
      <c r="C354" s="1"/>
      <c r="D354" s="1"/>
      <c r="E354" s="1"/>
      <c r="F354" s="1"/>
      <c r="G354" s="1"/>
      <c r="H354" s="1"/>
      <c r="I354" s="1"/>
    </row>
    <row r="355" spans="2:9" ht="14.4">
      <c r="B355" s="1"/>
      <c r="C355" s="1"/>
      <c r="D355" s="1"/>
      <c r="E355" s="1"/>
      <c r="F355" s="1"/>
      <c r="G355" s="1"/>
      <c r="H355" s="1"/>
      <c r="I355" s="1"/>
    </row>
    <row r="356" spans="2:9" ht="14.4">
      <c r="B356" s="1"/>
      <c r="C356" s="1"/>
      <c r="D356" s="1"/>
      <c r="E356" s="1"/>
      <c r="F356" s="1"/>
      <c r="G356" s="1"/>
      <c r="H356" s="1"/>
      <c r="I356" s="1"/>
    </row>
    <row r="357" spans="2:9" ht="14.4">
      <c r="B357" s="1"/>
      <c r="C357" s="1"/>
      <c r="D357" s="1"/>
      <c r="E357" s="1"/>
      <c r="F357" s="1"/>
      <c r="G357" s="1"/>
      <c r="H357" s="1"/>
      <c r="I357" s="1"/>
    </row>
    <row r="358" spans="2:9" ht="14.4">
      <c r="B358" s="1"/>
      <c r="C358" s="1"/>
      <c r="D358" s="1"/>
      <c r="E358" s="1"/>
      <c r="F358" s="1"/>
      <c r="G358" s="1"/>
      <c r="H358" s="1"/>
      <c r="I358" s="1"/>
    </row>
    <row r="359" spans="2:9" ht="14.4">
      <c r="B359" s="1"/>
      <c r="C359" s="1"/>
      <c r="D359" s="1"/>
      <c r="E359" s="1"/>
      <c r="F359" s="1"/>
      <c r="G359" s="1"/>
      <c r="H359" s="1"/>
      <c r="I359" s="1"/>
    </row>
    <row r="360" spans="2:9" ht="14.4">
      <c r="B360" s="1"/>
      <c r="C360" s="1"/>
      <c r="D360" s="1"/>
      <c r="E360" s="1"/>
      <c r="F360" s="1"/>
      <c r="G360" s="1"/>
      <c r="H360" s="1"/>
      <c r="I360" s="1"/>
    </row>
    <row r="361" spans="2:9" ht="14.4">
      <c r="B361" s="1"/>
      <c r="C361" s="1"/>
      <c r="D361" s="1"/>
      <c r="E361" s="1"/>
      <c r="F361" s="1"/>
      <c r="G361" s="1"/>
      <c r="H361" s="1"/>
      <c r="I361" s="1"/>
    </row>
    <row r="362" spans="2:9" ht="14.4">
      <c r="B362" s="1"/>
      <c r="C362" s="1"/>
      <c r="D362" s="1"/>
      <c r="E362" s="1"/>
      <c r="F362" s="1"/>
      <c r="G362" s="1"/>
      <c r="H362" s="1"/>
      <c r="I362" s="1"/>
    </row>
    <row r="363" spans="2:9" ht="14.4">
      <c r="B363" s="1"/>
      <c r="C363" s="1"/>
      <c r="D363" s="1"/>
      <c r="E363" s="1"/>
      <c r="F363" s="1"/>
      <c r="G363" s="1"/>
      <c r="H363" s="1"/>
      <c r="I363" s="1"/>
    </row>
    <row r="364" spans="2:9" ht="14.4">
      <c r="B364" s="1"/>
      <c r="C364" s="1"/>
      <c r="D364" s="1"/>
      <c r="E364" s="1"/>
      <c r="F364" s="1"/>
      <c r="G364" s="1"/>
      <c r="H364" s="1"/>
      <c r="I364" s="1"/>
    </row>
    <row r="365" spans="2:9" ht="14.4">
      <c r="B365" s="1"/>
      <c r="C365" s="1"/>
      <c r="D365" s="1"/>
      <c r="E365" s="1"/>
      <c r="F365" s="1"/>
      <c r="G365" s="1"/>
      <c r="H365" s="1"/>
      <c r="I365" s="1"/>
    </row>
    <row r="366" spans="2:9" ht="14.4">
      <c r="B366" s="1"/>
      <c r="C366" s="1"/>
      <c r="D366" s="1"/>
      <c r="E366" s="1"/>
      <c r="F366" s="1"/>
      <c r="G366" s="1"/>
      <c r="H366" s="1"/>
      <c r="I366" s="1"/>
    </row>
    <row r="367" spans="2:9" ht="14.4">
      <c r="B367" s="1"/>
      <c r="C367" s="1"/>
      <c r="D367" s="1"/>
      <c r="E367" s="1"/>
      <c r="F367" s="1"/>
      <c r="G367" s="1"/>
      <c r="H367" s="1"/>
      <c r="I367" s="1"/>
    </row>
    <row r="368" spans="2:9" ht="14.4">
      <c r="B368" s="1"/>
      <c r="C368" s="1"/>
      <c r="D368" s="1"/>
      <c r="E368" s="1"/>
      <c r="F368" s="1"/>
      <c r="G368" s="1"/>
      <c r="H368" s="1"/>
      <c r="I368" s="1"/>
    </row>
    <row r="369" spans="2:9" ht="14.4">
      <c r="B369" s="1"/>
      <c r="C369" s="1"/>
      <c r="D369" s="1"/>
      <c r="E369" s="1"/>
      <c r="F369" s="1"/>
      <c r="G369" s="1"/>
      <c r="H369" s="1"/>
      <c r="I369" s="1"/>
    </row>
    <row r="370" spans="2:9" ht="14.4">
      <c r="B370" s="1"/>
      <c r="C370" s="1"/>
      <c r="D370" s="1"/>
      <c r="E370" s="1"/>
      <c r="F370" s="1"/>
      <c r="G370" s="1"/>
      <c r="H370" s="1"/>
      <c r="I370" s="1"/>
    </row>
    <row r="371" spans="2:9" ht="14.4">
      <c r="B371" s="1"/>
      <c r="C371" s="1"/>
      <c r="D371" s="1"/>
      <c r="E371" s="1"/>
      <c r="F371" s="1"/>
      <c r="G371" s="1"/>
      <c r="H371" s="1"/>
      <c r="I371" s="1"/>
    </row>
    <row r="372" spans="2:9" ht="14.4">
      <c r="B372" s="1"/>
      <c r="C372" s="1"/>
      <c r="D372" s="1"/>
      <c r="E372" s="1"/>
      <c r="F372" s="1"/>
      <c r="G372" s="1"/>
      <c r="H372" s="1"/>
      <c r="I372" s="1"/>
    </row>
    <row r="373" spans="2:9" ht="14.4">
      <c r="B373" s="1"/>
      <c r="C373" s="1"/>
      <c r="D373" s="1"/>
      <c r="E373" s="1"/>
      <c r="F373" s="1"/>
      <c r="G373" s="1"/>
      <c r="H373" s="1"/>
      <c r="I373" s="1"/>
    </row>
    <row r="374" spans="2:9" ht="14.4">
      <c r="B374" s="1"/>
      <c r="C374" s="1"/>
      <c r="D374" s="1"/>
      <c r="E374" s="1"/>
      <c r="F374" s="1"/>
      <c r="G374" s="1"/>
      <c r="H374" s="1"/>
      <c r="I374" s="1"/>
    </row>
    <row r="375" spans="2:9" ht="14.4">
      <c r="B375" s="1"/>
      <c r="C375" s="1"/>
      <c r="D375" s="1"/>
      <c r="E375" s="1"/>
      <c r="F375" s="1"/>
      <c r="G375" s="1"/>
      <c r="H375" s="1"/>
      <c r="I375" s="1"/>
    </row>
    <row r="376" spans="2:9" ht="14.4">
      <c r="B376" s="1"/>
      <c r="C376" s="1"/>
      <c r="D376" s="1"/>
      <c r="E376" s="1"/>
      <c r="F376" s="1"/>
      <c r="G376" s="1"/>
      <c r="H376" s="1"/>
      <c r="I376" s="1"/>
    </row>
    <row r="377" spans="2:9" ht="14.4">
      <c r="B377" s="1"/>
      <c r="C377" s="1"/>
      <c r="D377" s="1"/>
      <c r="E377" s="1"/>
      <c r="F377" s="1"/>
      <c r="G377" s="1"/>
      <c r="H377" s="1"/>
      <c r="I377" s="1"/>
    </row>
    <row r="378" spans="2:9" ht="14.4">
      <c r="B378" s="1"/>
      <c r="C378" s="1"/>
      <c r="D378" s="1"/>
      <c r="E378" s="1"/>
      <c r="F378" s="1"/>
      <c r="G378" s="1"/>
      <c r="H378" s="1"/>
      <c r="I378" s="1"/>
    </row>
    <row r="379" spans="2:9" ht="14.4">
      <c r="B379" s="1"/>
      <c r="C379" s="1"/>
      <c r="D379" s="1"/>
      <c r="E379" s="1"/>
      <c r="F379" s="1"/>
      <c r="G379" s="1"/>
      <c r="H379" s="1"/>
      <c r="I379" s="1"/>
    </row>
    <row r="380" spans="2:9" ht="14.4">
      <c r="B380" s="1"/>
      <c r="C380" s="1"/>
      <c r="D380" s="1"/>
      <c r="E380" s="1"/>
      <c r="F380" s="1"/>
      <c r="G380" s="1"/>
      <c r="H380" s="1"/>
      <c r="I380" s="1"/>
    </row>
    <row r="381" spans="2:9" ht="14.4">
      <c r="B381" s="1"/>
      <c r="C381" s="1"/>
      <c r="D381" s="1"/>
      <c r="E381" s="1"/>
      <c r="F381" s="1"/>
      <c r="G381" s="1"/>
      <c r="H381" s="1"/>
      <c r="I381" s="1"/>
    </row>
    <row r="382" spans="2:9" ht="14.4">
      <c r="B382" s="1"/>
      <c r="C382" s="1"/>
      <c r="D382" s="1"/>
      <c r="E382" s="1"/>
      <c r="F382" s="1"/>
      <c r="G382" s="1"/>
      <c r="H382" s="1"/>
      <c r="I382" s="1"/>
    </row>
    <row r="383" spans="2:9" ht="14.4">
      <c r="B383" s="1"/>
      <c r="C383" s="1"/>
      <c r="D383" s="1"/>
      <c r="E383" s="1"/>
      <c r="F383" s="1"/>
      <c r="G383" s="1"/>
      <c r="H383" s="1"/>
      <c r="I383" s="1"/>
    </row>
    <row r="384" spans="2:9" ht="14.4">
      <c r="B384" s="1"/>
      <c r="C384" s="1"/>
      <c r="D384" s="1"/>
      <c r="E384" s="1"/>
      <c r="F384" s="1"/>
      <c r="G384" s="1"/>
      <c r="H384" s="1"/>
      <c r="I384" s="1"/>
    </row>
    <row r="385" spans="2:9" ht="14.4">
      <c r="B385" s="1"/>
      <c r="C385" s="1"/>
      <c r="D385" s="1"/>
      <c r="E385" s="1"/>
      <c r="F385" s="1"/>
      <c r="G385" s="1"/>
      <c r="H385" s="1"/>
      <c r="I385" s="1"/>
    </row>
    <row r="386" spans="2:9" ht="14.4">
      <c r="B386" s="1"/>
      <c r="C386" s="1"/>
      <c r="D386" s="1"/>
      <c r="E386" s="1"/>
      <c r="F386" s="1"/>
      <c r="G386" s="1"/>
      <c r="H386" s="1"/>
      <c r="I386" s="1"/>
    </row>
    <row r="387" spans="2:9" ht="14.4">
      <c r="B387" s="1"/>
      <c r="C387" s="1"/>
      <c r="D387" s="1"/>
      <c r="E387" s="1"/>
      <c r="F387" s="1"/>
      <c r="G387" s="1"/>
      <c r="H387" s="1"/>
      <c r="I387" s="1"/>
    </row>
    <row r="388" spans="2:9" ht="14.4">
      <c r="B388" s="1"/>
      <c r="C388" s="1"/>
      <c r="D388" s="1"/>
      <c r="E388" s="1"/>
      <c r="F388" s="1"/>
      <c r="G388" s="1"/>
      <c r="H388" s="1"/>
      <c r="I388" s="1"/>
    </row>
    <row r="389" spans="2:9" ht="14.4">
      <c r="B389" s="1"/>
      <c r="C389" s="1"/>
      <c r="D389" s="1"/>
      <c r="E389" s="1"/>
      <c r="F389" s="1"/>
      <c r="G389" s="1"/>
      <c r="H389" s="1"/>
      <c r="I389" s="1"/>
    </row>
    <row r="390" spans="2:9" ht="14.4">
      <c r="B390" s="1"/>
      <c r="C390" s="1"/>
      <c r="D390" s="1"/>
      <c r="E390" s="1"/>
      <c r="F390" s="1"/>
      <c r="G390" s="1"/>
      <c r="H390" s="1"/>
      <c r="I390" s="1"/>
    </row>
    <row r="391" spans="2:9" ht="14.4">
      <c r="B391" s="1"/>
      <c r="C391" s="1"/>
      <c r="D391" s="1"/>
      <c r="E391" s="1"/>
      <c r="F391" s="1"/>
      <c r="G391" s="1"/>
      <c r="H391" s="1"/>
      <c r="I391" s="1"/>
    </row>
    <row r="392" spans="2:9" ht="14.4">
      <c r="B392" s="1"/>
      <c r="C392" s="1"/>
      <c r="D392" s="1"/>
      <c r="E392" s="1"/>
      <c r="F392" s="1"/>
      <c r="G392" s="1"/>
      <c r="H392" s="1"/>
      <c r="I392" s="1"/>
    </row>
    <row r="393" spans="2:9" ht="14.4">
      <c r="B393" s="1"/>
      <c r="C393" s="1"/>
      <c r="D393" s="1"/>
      <c r="E393" s="1"/>
      <c r="F393" s="1"/>
      <c r="G393" s="1"/>
      <c r="H393" s="1"/>
      <c r="I393" s="1"/>
    </row>
    <row r="394" spans="2:9" ht="14.4">
      <c r="B394" s="1"/>
      <c r="C394" s="1"/>
      <c r="D394" s="1"/>
      <c r="E394" s="1"/>
      <c r="F394" s="1"/>
      <c r="G394" s="1"/>
      <c r="H394" s="1"/>
      <c r="I394" s="1"/>
    </row>
    <row r="395" spans="2:9" ht="14.4">
      <c r="B395" s="1"/>
      <c r="C395" s="1"/>
      <c r="D395" s="1"/>
      <c r="E395" s="1"/>
      <c r="F395" s="1"/>
      <c r="G395" s="1"/>
      <c r="H395" s="1"/>
      <c r="I395" s="1"/>
    </row>
    <row r="396" spans="2:9" ht="14.4">
      <c r="B396" s="1"/>
      <c r="C396" s="1"/>
      <c r="D396" s="1"/>
      <c r="E396" s="1"/>
      <c r="F396" s="1"/>
      <c r="G396" s="1"/>
      <c r="H396" s="1"/>
      <c r="I396" s="1"/>
    </row>
    <row r="397" spans="2:9" ht="14.4">
      <c r="B397" s="1"/>
      <c r="C397" s="1"/>
      <c r="D397" s="1"/>
      <c r="E397" s="1"/>
      <c r="F397" s="1"/>
      <c r="G397" s="1"/>
      <c r="H397" s="1"/>
      <c r="I397" s="1"/>
    </row>
    <row r="398" spans="2:9" ht="14.4">
      <c r="B398" s="1"/>
      <c r="C398" s="1"/>
      <c r="D398" s="1"/>
      <c r="E398" s="1"/>
      <c r="F398" s="1"/>
      <c r="G398" s="1"/>
      <c r="H398" s="1"/>
      <c r="I398" s="1"/>
    </row>
    <row r="399" spans="2:9" ht="14.4">
      <c r="B399" s="1"/>
      <c r="C399" s="1"/>
      <c r="D399" s="1"/>
      <c r="E399" s="1"/>
      <c r="F399" s="1"/>
      <c r="G399" s="1"/>
      <c r="H399" s="1"/>
      <c r="I399" s="1"/>
    </row>
    <row r="400" spans="2:9" ht="14.4">
      <c r="B400" s="1"/>
      <c r="C400" s="1"/>
      <c r="D400" s="1"/>
      <c r="E400" s="1"/>
      <c r="F400" s="1"/>
      <c r="G400" s="1"/>
      <c r="H400" s="1"/>
      <c r="I400" s="1"/>
    </row>
    <row r="401" spans="2:9" ht="14.4">
      <c r="B401" s="1"/>
      <c r="C401" s="1"/>
      <c r="D401" s="1"/>
      <c r="E401" s="1"/>
      <c r="F401" s="1"/>
      <c r="G401" s="1"/>
      <c r="H401" s="1"/>
      <c r="I401" s="1"/>
    </row>
    <row r="402" spans="2:9" ht="14.4">
      <c r="B402" s="1"/>
      <c r="C402" s="1"/>
      <c r="D402" s="1"/>
      <c r="E402" s="1"/>
      <c r="F402" s="1"/>
      <c r="G402" s="1"/>
      <c r="H402" s="1"/>
      <c r="I402" s="1"/>
    </row>
    <row r="403" spans="2:9" ht="14.4">
      <c r="B403" s="1"/>
      <c r="C403" s="1"/>
      <c r="D403" s="1"/>
      <c r="E403" s="1"/>
      <c r="F403" s="1"/>
      <c r="G403" s="1"/>
      <c r="H403" s="1"/>
      <c r="I403" s="1"/>
    </row>
    <row r="404" spans="2:9" ht="14.4">
      <c r="B404" s="1"/>
      <c r="C404" s="1"/>
      <c r="D404" s="1"/>
      <c r="E404" s="1"/>
      <c r="F404" s="1"/>
      <c r="G404" s="1"/>
      <c r="H404" s="1"/>
      <c r="I404" s="1"/>
    </row>
    <row r="405" spans="2:9" ht="14.4">
      <c r="B405" s="1"/>
      <c r="C405" s="1"/>
      <c r="D405" s="1"/>
      <c r="E405" s="1"/>
      <c r="F405" s="1"/>
      <c r="G405" s="1"/>
      <c r="H405" s="1"/>
      <c r="I405" s="1"/>
    </row>
    <row r="406" spans="2:9" ht="14.4">
      <c r="B406" s="1"/>
      <c r="C406" s="1"/>
      <c r="D406" s="1"/>
      <c r="E406" s="1"/>
      <c r="F406" s="1"/>
      <c r="G406" s="1"/>
      <c r="H406" s="1"/>
      <c r="I406" s="1"/>
    </row>
    <row r="407" spans="2:9" ht="14.4">
      <c r="B407" s="1"/>
      <c r="C407" s="1"/>
      <c r="D407" s="1"/>
      <c r="E407" s="1"/>
      <c r="F407" s="1"/>
      <c r="G407" s="1"/>
      <c r="H407" s="1"/>
      <c r="I407" s="1"/>
    </row>
    <row r="408" spans="2:9" ht="14.4">
      <c r="B408" s="1"/>
      <c r="C408" s="1"/>
      <c r="D408" s="1"/>
      <c r="E408" s="1"/>
      <c r="F408" s="1"/>
      <c r="G408" s="1"/>
      <c r="H408" s="1"/>
      <c r="I408" s="1"/>
    </row>
    <row r="409" spans="2:9" ht="14.4">
      <c r="B409" s="1"/>
      <c r="C409" s="1"/>
      <c r="D409" s="1"/>
      <c r="E409" s="1"/>
      <c r="F409" s="1"/>
      <c r="G409" s="1"/>
      <c r="H409" s="1"/>
      <c r="I409" s="1"/>
    </row>
    <row r="410" spans="2:9" ht="14.4">
      <c r="B410" s="1"/>
      <c r="C410" s="1"/>
      <c r="D410" s="1"/>
      <c r="E410" s="1"/>
      <c r="F410" s="1"/>
      <c r="G410" s="1"/>
      <c r="H410" s="1"/>
      <c r="I410" s="1"/>
    </row>
    <row r="411" spans="2:9" ht="14.4">
      <c r="B411" s="1"/>
      <c r="C411" s="1"/>
      <c r="D411" s="1"/>
      <c r="E411" s="1"/>
      <c r="F411" s="1"/>
      <c r="G411" s="1"/>
      <c r="H411" s="1"/>
      <c r="I411" s="1"/>
    </row>
    <row r="412" spans="2:9" ht="14.4">
      <c r="B412" s="1"/>
      <c r="C412" s="1"/>
      <c r="D412" s="1"/>
      <c r="E412" s="1"/>
      <c r="F412" s="1"/>
      <c r="G412" s="1"/>
      <c r="H412" s="1"/>
      <c r="I412" s="1"/>
    </row>
    <row r="413" spans="2:9" ht="14.4">
      <c r="B413" s="1"/>
      <c r="C413" s="1"/>
      <c r="D413" s="1"/>
      <c r="E413" s="1"/>
      <c r="F413" s="1"/>
      <c r="G413" s="1"/>
      <c r="H413" s="1"/>
      <c r="I413" s="1"/>
    </row>
    <row r="414" spans="2:9" ht="14.4">
      <c r="B414" s="1"/>
      <c r="C414" s="1"/>
      <c r="D414" s="1"/>
      <c r="E414" s="1"/>
      <c r="F414" s="1"/>
      <c r="G414" s="1"/>
      <c r="H414" s="1"/>
      <c r="I414" s="1"/>
    </row>
    <row r="415" spans="2:9" ht="14.4">
      <c r="B415" s="1"/>
      <c r="C415" s="1"/>
      <c r="D415" s="1"/>
      <c r="E415" s="1"/>
      <c r="F415" s="1"/>
      <c r="G415" s="1"/>
      <c r="H415" s="1"/>
      <c r="I415" s="1"/>
    </row>
    <row r="416" spans="2:9" ht="14.4">
      <c r="B416" s="1"/>
      <c r="C416" s="1"/>
      <c r="D416" s="1"/>
      <c r="E416" s="1"/>
      <c r="F416" s="1"/>
      <c r="G416" s="1"/>
      <c r="H416" s="1"/>
      <c r="I416" s="1"/>
    </row>
    <row r="417" spans="2:9" ht="14.4">
      <c r="B417" s="1"/>
      <c r="C417" s="1"/>
      <c r="D417" s="1"/>
      <c r="E417" s="1"/>
      <c r="F417" s="1"/>
      <c r="G417" s="1"/>
      <c r="H417" s="1"/>
      <c r="I417" s="1"/>
    </row>
    <row r="418" spans="2:9" ht="14.4">
      <c r="B418" s="1"/>
      <c r="C418" s="1"/>
      <c r="D418" s="1"/>
      <c r="E418" s="1"/>
      <c r="F418" s="1"/>
      <c r="G418" s="1"/>
      <c r="H418" s="1"/>
      <c r="I418" s="1"/>
    </row>
    <row r="419" spans="2:9" ht="14.4">
      <c r="B419" s="1"/>
      <c r="C419" s="1"/>
      <c r="D419" s="1"/>
      <c r="E419" s="1"/>
      <c r="F419" s="1"/>
      <c r="G419" s="1"/>
      <c r="H419" s="1"/>
      <c r="I419" s="1"/>
    </row>
    <row r="420" spans="2:9" ht="14.4">
      <c r="B420" s="1"/>
      <c r="C420" s="1"/>
      <c r="D420" s="1"/>
      <c r="E420" s="1"/>
      <c r="F420" s="1"/>
      <c r="G420" s="1"/>
      <c r="H420" s="1"/>
      <c r="I420" s="1"/>
    </row>
    <row r="421" spans="2:9" ht="14.4">
      <c r="B421" s="1"/>
      <c r="C421" s="1"/>
      <c r="D421" s="1"/>
      <c r="E421" s="1"/>
      <c r="F421" s="1"/>
      <c r="G421" s="1"/>
      <c r="H421" s="1"/>
      <c r="I421" s="1"/>
    </row>
    <row r="422" spans="2:9" ht="14.4">
      <c r="B422" s="1"/>
      <c r="C422" s="1"/>
      <c r="D422" s="1"/>
      <c r="E422" s="1"/>
      <c r="F422" s="1"/>
      <c r="G422" s="1"/>
      <c r="H422" s="1"/>
      <c r="I422" s="1"/>
    </row>
    <row r="423" spans="2:9" ht="14.4">
      <c r="B423" s="1"/>
      <c r="C423" s="1"/>
      <c r="D423" s="1"/>
      <c r="E423" s="1"/>
      <c r="F423" s="1"/>
      <c r="G423" s="1"/>
      <c r="H423" s="1"/>
      <c r="I423" s="1"/>
    </row>
    <row r="424" spans="2:9" ht="14.4">
      <c r="B424" s="1"/>
      <c r="C424" s="1"/>
      <c r="D424" s="1"/>
      <c r="E424" s="1"/>
      <c r="F424" s="1"/>
      <c r="G424" s="1"/>
      <c r="H424" s="1"/>
      <c r="I424" s="1"/>
    </row>
    <row r="425" spans="2:9" ht="14.4">
      <c r="B425" s="1"/>
      <c r="C425" s="1"/>
      <c r="D425" s="1"/>
      <c r="E425" s="1"/>
      <c r="F425" s="1"/>
      <c r="G425" s="1"/>
      <c r="H425" s="1"/>
      <c r="I425" s="1"/>
    </row>
    <row r="426" spans="2:9" ht="14.4">
      <c r="B426" s="1"/>
      <c r="C426" s="1"/>
      <c r="D426" s="1"/>
      <c r="E426" s="1"/>
      <c r="F426" s="1"/>
      <c r="G426" s="1"/>
      <c r="H426" s="1"/>
      <c r="I426" s="1"/>
    </row>
    <row r="427" spans="2:9" ht="14.4">
      <c r="B427" s="1"/>
      <c r="C427" s="1"/>
      <c r="D427" s="1"/>
      <c r="E427" s="1"/>
      <c r="F427" s="1"/>
      <c r="G427" s="1"/>
      <c r="H427" s="1"/>
      <c r="I427" s="1"/>
    </row>
    <row r="428" spans="2:9" ht="14.4">
      <c r="B428" s="1"/>
      <c r="C428" s="1"/>
      <c r="D428" s="1"/>
      <c r="E428" s="1"/>
      <c r="F428" s="1"/>
      <c r="G428" s="1"/>
      <c r="H428" s="1"/>
      <c r="I428" s="1"/>
    </row>
    <row r="429" spans="2:9" ht="14.4">
      <c r="B429" s="1"/>
      <c r="C429" s="1"/>
      <c r="D429" s="1"/>
      <c r="E429" s="1"/>
      <c r="F429" s="1"/>
      <c r="G429" s="1"/>
      <c r="H429" s="1"/>
      <c r="I429" s="1"/>
    </row>
    <row r="430" spans="2:9" ht="14.4">
      <c r="B430" s="1"/>
      <c r="C430" s="1"/>
      <c r="D430" s="1"/>
      <c r="E430" s="1"/>
      <c r="F430" s="1"/>
      <c r="G430" s="1"/>
      <c r="H430" s="1"/>
      <c r="I430" s="1"/>
    </row>
    <row r="431" spans="2:9" ht="14.4">
      <c r="B431" s="1"/>
      <c r="C431" s="1"/>
      <c r="D431" s="1"/>
      <c r="E431" s="1"/>
      <c r="F431" s="1"/>
      <c r="G431" s="1"/>
      <c r="H431" s="1"/>
      <c r="I431" s="1"/>
    </row>
    <row r="432" spans="2:9" ht="14.4">
      <c r="B432" s="1"/>
      <c r="C432" s="1"/>
      <c r="D432" s="1"/>
      <c r="E432" s="1"/>
      <c r="F432" s="1"/>
      <c r="G432" s="1"/>
      <c r="H432" s="1"/>
      <c r="I432" s="1"/>
    </row>
    <row r="433" spans="2:9" ht="14.4">
      <c r="B433" s="1"/>
      <c r="C433" s="1"/>
      <c r="D433" s="1"/>
      <c r="E433" s="1"/>
      <c r="F433" s="1"/>
      <c r="G433" s="1"/>
      <c r="H433" s="1"/>
      <c r="I433" s="1"/>
    </row>
    <row r="434" spans="2:9" ht="14.4">
      <c r="B434" s="1"/>
      <c r="C434" s="1"/>
      <c r="D434" s="1"/>
      <c r="E434" s="1"/>
      <c r="F434" s="1"/>
      <c r="G434" s="1"/>
      <c r="H434" s="1"/>
      <c r="I434" s="1"/>
    </row>
    <row r="435" spans="2:9" ht="14.4">
      <c r="B435" s="1"/>
      <c r="C435" s="1"/>
      <c r="D435" s="1"/>
      <c r="E435" s="1"/>
      <c r="F435" s="1"/>
      <c r="G435" s="1"/>
      <c r="H435" s="1"/>
      <c r="I435" s="1"/>
    </row>
    <row r="436" spans="2:9" ht="14.4">
      <c r="B436" s="1"/>
      <c r="C436" s="1"/>
      <c r="D436" s="1"/>
      <c r="E436" s="1"/>
      <c r="F436" s="1"/>
      <c r="G436" s="1"/>
      <c r="H436" s="1"/>
      <c r="I436" s="1"/>
    </row>
    <row r="437" spans="2:9" ht="14.4">
      <c r="B437" s="1"/>
      <c r="C437" s="1"/>
      <c r="D437" s="1"/>
      <c r="E437" s="1"/>
      <c r="F437" s="1"/>
      <c r="G437" s="1"/>
      <c r="H437" s="1"/>
      <c r="I437" s="1"/>
    </row>
    <row r="438" spans="2:9" ht="14.4">
      <c r="B438" s="1"/>
      <c r="C438" s="1"/>
      <c r="D438" s="1"/>
      <c r="E438" s="1"/>
      <c r="F438" s="1"/>
      <c r="G438" s="1"/>
      <c r="H438" s="1"/>
      <c r="I438" s="1"/>
    </row>
    <row r="439" spans="2:9" ht="14.4">
      <c r="B439" s="1"/>
      <c r="C439" s="1"/>
      <c r="D439" s="1"/>
      <c r="E439" s="1"/>
      <c r="F439" s="1"/>
      <c r="G439" s="1"/>
      <c r="H439" s="1"/>
      <c r="I439" s="1"/>
    </row>
    <row r="440" spans="2:9" ht="14.4">
      <c r="B440" s="1"/>
      <c r="C440" s="1"/>
      <c r="D440" s="1"/>
      <c r="E440" s="1"/>
      <c r="F440" s="1"/>
      <c r="G440" s="1"/>
      <c r="H440" s="1"/>
      <c r="I440" s="1"/>
    </row>
    <row r="441" spans="2:9" ht="14.4">
      <c r="B441" s="1"/>
      <c r="C441" s="1"/>
      <c r="D441" s="1"/>
      <c r="E441" s="1"/>
      <c r="F441" s="1"/>
      <c r="G441" s="1"/>
      <c r="H441" s="1"/>
      <c r="I441" s="1"/>
    </row>
    <row r="442" spans="2:9" ht="14.4">
      <c r="B442" s="1"/>
      <c r="C442" s="1"/>
      <c r="D442" s="1"/>
      <c r="E442" s="1"/>
      <c r="F442" s="1"/>
      <c r="G442" s="1"/>
      <c r="H442" s="1"/>
      <c r="I442" s="1"/>
    </row>
    <row r="443" spans="2:9" ht="14.4">
      <c r="B443" s="1"/>
      <c r="C443" s="1"/>
      <c r="D443" s="1"/>
      <c r="E443" s="1"/>
      <c r="F443" s="1"/>
      <c r="G443" s="1"/>
      <c r="H443" s="1"/>
      <c r="I443" s="1"/>
    </row>
    <row r="444" spans="2:9" ht="14.4">
      <c r="B444" s="1"/>
      <c r="C444" s="1"/>
      <c r="D444" s="1"/>
      <c r="E444" s="1"/>
      <c r="F444" s="1"/>
      <c r="G444" s="1"/>
      <c r="H444" s="1"/>
      <c r="I444" s="1"/>
    </row>
    <row r="445" spans="2:9" ht="14.4">
      <c r="B445" s="1"/>
      <c r="C445" s="1"/>
      <c r="D445" s="1"/>
      <c r="E445" s="1"/>
      <c r="F445" s="1"/>
      <c r="G445" s="1"/>
      <c r="H445" s="1"/>
      <c r="I445" s="1"/>
    </row>
    <row r="446" spans="2:9" ht="14.4">
      <c r="B446" s="1"/>
      <c r="C446" s="1"/>
      <c r="D446" s="1"/>
      <c r="E446" s="1"/>
      <c r="F446" s="1"/>
      <c r="G446" s="1"/>
      <c r="H446" s="1"/>
      <c r="I446" s="1"/>
    </row>
    <row r="447" spans="2:9" ht="14.4">
      <c r="B447" s="1"/>
      <c r="C447" s="1"/>
      <c r="D447" s="1"/>
      <c r="E447" s="1"/>
      <c r="F447" s="1"/>
      <c r="G447" s="1"/>
      <c r="H447" s="1"/>
      <c r="I447" s="1"/>
    </row>
    <row r="448" spans="2:9" ht="14.4">
      <c r="B448" s="1"/>
      <c r="C448" s="1"/>
      <c r="D448" s="1"/>
      <c r="E448" s="1"/>
      <c r="F448" s="1"/>
      <c r="G448" s="1"/>
      <c r="H448" s="1"/>
      <c r="I448" s="1"/>
    </row>
    <row r="449" spans="2:9" ht="14.4">
      <c r="B449" s="1"/>
      <c r="C449" s="1"/>
      <c r="D449" s="1"/>
      <c r="E449" s="1"/>
      <c r="F449" s="1"/>
      <c r="G449" s="1"/>
      <c r="H449" s="1"/>
      <c r="I449" s="1"/>
    </row>
    <row r="450" spans="2:9" ht="14.4">
      <c r="B450" s="1"/>
      <c r="C450" s="1"/>
      <c r="D450" s="1"/>
      <c r="E450" s="1"/>
      <c r="F450" s="1"/>
      <c r="G450" s="1"/>
      <c r="H450" s="1"/>
      <c r="I450" s="1"/>
    </row>
    <row r="451" spans="2:9" ht="14.4">
      <c r="B451" s="1"/>
      <c r="C451" s="1"/>
      <c r="D451" s="1"/>
      <c r="E451" s="1"/>
      <c r="F451" s="1"/>
      <c r="G451" s="1"/>
      <c r="H451" s="1"/>
      <c r="I451" s="1"/>
    </row>
    <row r="452" spans="2:9" ht="14.4">
      <c r="B452" s="1"/>
      <c r="C452" s="1"/>
      <c r="D452" s="1"/>
      <c r="E452" s="1"/>
      <c r="F452" s="1"/>
      <c r="G452" s="1"/>
      <c r="H452" s="1"/>
      <c r="I452" s="1"/>
    </row>
    <row r="453" spans="2:9" ht="14.4">
      <c r="B453" s="1"/>
      <c r="C453" s="1"/>
      <c r="D453" s="1"/>
      <c r="E453" s="1"/>
      <c r="F453" s="1"/>
      <c r="G453" s="1"/>
      <c r="H453" s="1"/>
      <c r="I453" s="1"/>
    </row>
    <row r="454" spans="2:9" ht="14.4">
      <c r="B454" s="1"/>
      <c r="C454" s="1"/>
      <c r="D454" s="1"/>
      <c r="E454" s="1"/>
      <c r="F454" s="1"/>
      <c r="G454" s="1"/>
      <c r="H454" s="1"/>
      <c r="I454" s="1"/>
    </row>
    <row r="455" spans="2:9" ht="14.4">
      <c r="B455" s="1"/>
      <c r="C455" s="1"/>
      <c r="D455" s="1"/>
      <c r="E455" s="1"/>
      <c r="F455" s="1"/>
      <c r="G455" s="1"/>
      <c r="H455" s="1"/>
      <c r="I455" s="1"/>
    </row>
    <row r="456" spans="2:9" ht="14.4">
      <c r="B456" s="1"/>
      <c r="C456" s="1"/>
      <c r="D456" s="1"/>
      <c r="E456" s="1"/>
      <c r="F456" s="1"/>
      <c r="G456" s="1"/>
      <c r="H456" s="1"/>
      <c r="I456" s="1"/>
    </row>
    <row r="457" spans="2:9" ht="14.4">
      <c r="B457" s="1"/>
      <c r="C457" s="1"/>
      <c r="D457" s="1"/>
      <c r="E457" s="1"/>
      <c r="F457" s="1"/>
      <c r="G457" s="1"/>
      <c r="H457" s="1"/>
      <c r="I457" s="1"/>
    </row>
    <row r="458" spans="2:9" ht="14.4">
      <c r="B458" s="1"/>
      <c r="C458" s="1"/>
      <c r="D458" s="1"/>
      <c r="E458" s="1"/>
      <c r="F458" s="1"/>
      <c r="G458" s="1"/>
      <c r="H458" s="1"/>
      <c r="I458" s="1"/>
    </row>
    <row r="459" spans="2:9" ht="14.4">
      <c r="B459" s="1"/>
      <c r="C459" s="1"/>
      <c r="D459" s="1"/>
      <c r="E459" s="1"/>
      <c r="F459" s="1"/>
      <c r="G459" s="1"/>
      <c r="H459" s="1"/>
      <c r="I459" s="1"/>
    </row>
    <row r="460" spans="2:9" ht="14.4">
      <c r="B460" s="1"/>
      <c r="C460" s="1"/>
      <c r="D460" s="1"/>
      <c r="E460" s="1"/>
      <c r="F460" s="1"/>
      <c r="G460" s="1"/>
      <c r="H460" s="1"/>
      <c r="I460" s="1"/>
    </row>
    <row r="461" spans="2:9" ht="14.4">
      <c r="B461" s="1"/>
      <c r="C461" s="1"/>
      <c r="D461" s="1"/>
      <c r="E461" s="1"/>
      <c r="F461" s="1"/>
      <c r="G461" s="1"/>
      <c r="H461" s="1"/>
      <c r="I461" s="1"/>
    </row>
    <row r="462" spans="2:9" ht="14.4">
      <c r="B462" s="1"/>
      <c r="C462" s="1"/>
      <c r="D462" s="1"/>
      <c r="E462" s="1"/>
      <c r="F462" s="1"/>
      <c r="G462" s="1"/>
      <c r="H462" s="1"/>
      <c r="I462" s="1"/>
    </row>
    <row r="463" spans="2:9" ht="14.4">
      <c r="B463" s="1"/>
      <c r="C463" s="1"/>
      <c r="D463" s="1"/>
      <c r="E463" s="1"/>
      <c r="F463" s="1"/>
      <c r="G463" s="1"/>
      <c r="H463" s="1"/>
      <c r="I463" s="1"/>
    </row>
    <row r="464" spans="2:9" ht="14.4">
      <c r="B464" s="1"/>
      <c r="C464" s="1"/>
      <c r="D464" s="1"/>
      <c r="E464" s="1"/>
      <c r="F464" s="1"/>
      <c r="G464" s="1"/>
      <c r="H464" s="1"/>
      <c r="I464" s="1"/>
    </row>
    <row r="465" spans="2:9" ht="14.4">
      <c r="B465" s="1"/>
      <c r="C465" s="1"/>
      <c r="D465" s="1"/>
      <c r="E465" s="1"/>
      <c r="F465" s="1"/>
      <c r="G465" s="1"/>
      <c r="H465" s="1"/>
      <c r="I465" s="1"/>
    </row>
    <row r="466" spans="2:9" ht="14.4">
      <c r="B466" s="1"/>
      <c r="C466" s="1"/>
      <c r="D466" s="1"/>
      <c r="E466" s="1"/>
      <c r="F466" s="1"/>
      <c r="G466" s="1"/>
      <c r="H466" s="1"/>
      <c r="I466" s="1"/>
    </row>
    <row r="467" spans="2:9" ht="14.4">
      <c r="B467" s="1"/>
      <c r="C467" s="1"/>
      <c r="D467" s="1"/>
      <c r="E467" s="1"/>
      <c r="F467" s="1"/>
      <c r="G467" s="1"/>
      <c r="H467" s="1"/>
      <c r="I467" s="1"/>
    </row>
    <row r="468" spans="2:9" ht="14.4">
      <c r="B468" s="1"/>
      <c r="C468" s="1"/>
      <c r="D468" s="1"/>
      <c r="E468" s="1"/>
      <c r="F468" s="1"/>
      <c r="G468" s="1"/>
      <c r="H468" s="1"/>
      <c r="I468" s="1"/>
    </row>
    <row r="469" spans="2:9" ht="14.4">
      <c r="B469" s="1"/>
      <c r="C469" s="1"/>
      <c r="D469" s="1"/>
      <c r="E469" s="1"/>
      <c r="F469" s="1"/>
      <c r="G469" s="1"/>
      <c r="H469" s="1"/>
      <c r="I469" s="1"/>
    </row>
    <row r="470" spans="2:9" ht="14.4">
      <c r="B470" s="1"/>
      <c r="C470" s="1"/>
      <c r="D470" s="1"/>
      <c r="E470" s="1"/>
      <c r="F470" s="1"/>
      <c r="G470" s="1"/>
      <c r="H470" s="1"/>
      <c r="I470" s="1"/>
    </row>
    <row r="471" spans="2:9" ht="14.4">
      <c r="B471" s="1"/>
      <c r="C471" s="1"/>
      <c r="D471" s="1"/>
      <c r="E471" s="1"/>
      <c r="F471" s="1"/>
      <c r="G471" s="1"/>
      <c r="H471" s="1"/>
      <c r="I471" s="1"/>
    </row>
    <row r="472" spans="2:9" ht="14.4">
      <c r="B472" s="1"/>
      <c r="C472" s="1"/>
      <c r="D472" s="1"/>
      <c r="E472" s="1"/>
      <c r="F472" s="1"/>
      <c r="G472" s="1"/>
      <c r="H472" s="1"/>
      <c r="I472" s="1"/>
    </row>
    <row r="473" spans="2:9" ht="14.4">
      <c r="B473" s="1"/>
      <c r="C473" s="1"/>
      <c r="D473" s="1"/>
      <c r="E473" s="1"/>
      <c r="F473" s="1"/>
      <c r="G473" s="1"/>
      <c r="H473" s="1"/>
      <c r="I473" s="1"/>
    </row>
    <row r="474" spans="2:9" ht="14.4">
      <c r="B474" s="1"/>
      <c r="C474" s="1"/>
      <c r="D474" s="1"/>
      <c r="E474" s="1"/>
      <c r="F474" s="1"/>
      <c r="G474" s="1"/>
      <c r="H474" s="1"/>
      <c r="I474" s="1"/>
    </row>
    <row r="475" spans="2:9" ht="14.4">
      <c r="B475" s="1"/>
      <c r="C475" s="1"/>
      <c r="D475" s="1"/>
      <c r="E475" s="1"/>
      <c r="F475" s="1"/>
      <c r="G475" s="1"/>
      <c r="H475" s="1"/>
      <c r="I475" s="1"/>
    </row>
    <row r="476" spans="2:9" ht="14.4">
      <c r="B476" s="1"/>
      <c r="C476" s="1"/>
      <c r="D476" s="1"/>
      <c r="E476" s="1"/>
      <c r="F476" s="1"/>
      <c r="G476" s="1"/>
      <c r="H476" s="1"/>
      <c r="I476" s="1"/>
    </row>
    <row r="477" spans="2:9" ht="14.4">
      <c r="B477" s="1"/>
      <c r="C477" s="1"/>
      <c r="D477" s="1"/>
      <c r="E477" s="1"/>
      <c r="F477" s="1"/>
      <c r="G477" s="1"/>
      <c r="H477" s="1"/>
      <c r="I477" s="1"/>
    </row>
    <row r="478" spans="2:9" ht="14.4">
      <c r="B478" s="1"/>
      <c r="C478" s="1"/>
      <c r="D478" s="1"/>
      <c r="E478" s="1"/>
      <c r="F478" s="1"/>
      <c r="G478" s="1"/>
      <c r="H478" s="1"/>
      <c r="I478" s="1"/>
    </row>
    <row r="479" spans="2:9" ht="14.4">
      <c r="B479" s="1"/>
      <c r="C479" s="1"/>
      <c r="D479" s="1"/>
      <c r="E479" s="1"/>
      <c r="F479" s="1"/>
      <c r="G479" s="1"/>
      <c r="H479" s="1"/>
      <c r="I479" s="1"/>
    </row>
    <row r="480" spans="2:9" ht="14.4">
      <c r="B480" s="1"/>
      <c r="C480" s="1"/>
      <c r="D480" s="1"/>
      <c r="E480" s="1"/>
      <c r="F480" s="1"/>
      <c r="G480" s="1"/>
      <c r="H480" s="1"/>
      <c r="I480" s="1"/>
    </row>
    <row r="481" spans="2:9" ht="14.4">
      <c r="B481" s="1"/>
      <c r="C481" s="1"/>
      <c r="D481" s="1"/>
      <c r="E481" s="1"/>
      <c r="F481" s="1"/>
      <c r="G481" s="1"/>
      <c r="H481" s="1"/>
      <c r="I481" s="1"/>
    </row>
    <row r="482" spans="2:9" ht="14.4">
      <c r="B482" s="1"/>
      <c r="C482" s="1"/>
      <c r="D482" s="1"/>
      <c r="E482" s="1"/>
      <c r="F482" s="1"/>
      <c r="G482" s="1"/>
      <c r="H482" s="1"/>
      <c r="I482" s="1"/>
    </row>
    <row r="483" spans="2:9" ht="14.4">
      <c r="B483" s="1"/>
      <c r="C483" s="1"/>
      <c r="D483" s="1"/>
      <c r="E483" s="1"/>
      <c r="F483" s="1"/>
      <c r="G483" s="1"/>
      <c r="H483" s="1"/>
      <c r="I483" s="1"/>
    </row>
    <row r="484" spans="2:9" ht="14.4">
      <c r="B484" s="1"/>
      <c r="C484" s="1"/>
      <c r="D484" s="1"/>
      <c r="E484" s="1"/>
      <c r="F484" s="1"/>
      <c r="G484" s="1"/>
      <c r="H484" s="1"/>
      <c r="I484" s="1"/>
    </row>
    <row r="485" spans="2:9" ht="14.4">
      <c r="B485" s="1"/>
      <c r="C485" s="1"/>
      <c r="D485" s="1"/>
      <c r="E485" s="1"/>
      <c r="F485" s="1"/>
      <c r="G485" s="1"/>
      <c r="H485" s="1"/>
      <c r="I485" s="1"/>
    </row>
    <row r="486" spans="2:9" ht="14.4">
      <c r="B486" s="1"/>
      <c r="C486" s="1"/>
      <c r="D486" s="1"/>
      <c r="E486" s="1"/>
      <c r="F486" s="1"/>
      <c r="G486" s="1"/>
      <c r="H486" s="1"/>
      <c r="I486" s="1"/>
    </row>
    <row r="487" spans="2:9" ht="14.4">
      <c r="B487" s="1"/>
      <c r="C487" s="1"/>
      <c r="D487" s="1"/>
      <c r="E487" s="1"/>
      <c r="F487" s="1"/>
      <c r="G487" s="1"/>
      <c r="H487" s="1"/>
      <c r="I487" s="1"/>
    </row>
    <row r="488" spans="2:9" ht="14.4">
      <c r="B488" s="1"/>
      <c r="C488" s="1"/>
      <c r="D488" s="1"/>
      <c r="E488" s="1"/>
      <c r="F488" s="1"/>
      <c r="G488" s="1"/>
      <c r="H488" s="1"/>
      <c r="I488" s="1"/>
    </row>
    <row r="489" spans="2:9" ht="14.4">
      <c r="B489" s="1"/>
      <c r="C489" s="1"/>
      <c r="D489" s="1"/>
      <c r="E489" s="1"/>
      <c r="F489" s="1"/>
      <c r="G489" s="1"/>
      <c r="H489" s="1"/>
      <c r="I489" s="1"/>
    </row>
    <row r="490" spans="2:9" ht="14.4">
      <c r="B490" s="1"/>
      <c r="C490" s="1"/>
      <c r="D490" s="1"/>
      <c r="E490" s="1"/>
      <c r="F490" s="1"/>
      <c r="G490" s="1"/>
      <c r="H490" s="1"/>
      <c r="I490" s="1"/>
    </row>
    <row r="491" spans="2:9" ht="14.4">
      <c r="B491" s="1"/>
      <c r="C491" s="1"/>
      <c r="D491" s="1"/>
      <c r="E491" s="1"/>
      <c r="F491" s="1"/>
      <c r="G491" s="1"/>
      <c r="H491" s="1"/>
      <c r="I491" s="1"/>
    </row>
    <row r="492" spans="2:9" ht="14.4">
      <c r="B492" s="1"/>
      <c r="C492" s="1"/>
      <c r="D492" s="1"/>
      <c r="E492" s="1"/>
      <c r="F492" s="1"/>
      <c r="G492" s="1"/>
      <c r="H492" s="1"/>
      <c r="I492" s="1"/>
    </row>
    <row r="493" spans="2:9" ht="14.4">
      <c r="B493" s="1"/>
      <c r="C493" s="1"/>
      <c r="D493" s="1"/>
      <c r="E493" s="1"/>
      <c r="F493" s="1"/>
      <c r="G493" s="1"/>
      <c r="H493" s="1"/>
      <c r="I493" s="1"/>
    </row>
    <row r="494" spans="2:9" ht="14.4">
      <c r="B494" s="1"/>
      <c r="C494" s="1"/>
      <c r="D494" s="1"/>
      <c r="E494" s="1"/>
      <c r="F494" s="1"/>
      <c r="G494" s="1"/>
      <c r="H494" s="1"/>
      <c r="I494" s="1"/>
    </row>
    <row r="495" spans="2:9" ht="14.4">
      <c r="B495" s="1"/>
      <c r="C495" s="1"/>
      <c r="D495" s="1"/>
      <c r="E495" s="1"/>
      <c r="F495" s="1"/>
      <c r="G495" s="1"/>
      <c r="H495" s="1"/>
      <c r="I495" s="1"/>
    </row>
    <row r="496" spans="2:9" ht="14.4">
      <c r="B496" s="1"/>
      <c r="C496" s="1"/>
      <c r="D496" s="1"/>
      <c r="E496" s="1"/>
      <c r="F496" s="1"/>
      <c r="G496" s="1"/>
      <c r="H496" s="1"/>
      <c r="I496" s="1"/>
    </row>
    <row r="497" spans="2:9" ht="14.4">
      <c r="B497" s="1"/>
      <c r="C497" s="1"/>
      <c r="D497" s="1"/>
      <c r="E497" s="1"/>
      <c r="F497" s="1"/>
      <c r="G497" s="1"/>
      <c r="H497" s="1"/>
      <c r="I497" s="1"/>
    </row>
    <row r="498" spans="2:9" ht="14.4">
      <c r="B498" s="1"/>
      <c r="C498" s="1"/>
      <c r="D498" s="1"/>
      <c r="E498" s="1"/>
      <c r="F498" s="1"/>
      <c r="G498" s="1"/>
      <c r="H498" s="1"/>
      <c r="I498" s="1"/>
    </row>
    <row r="499" spans="2:9" ht="14.4">
      <c r="B499" s="1"/>
      <c r="C499" s="1"/>
      <c r="D499" s="1"/>
      <c r="E499" s="1"/>
      <c r="F499" s="1"/>
      <c r="G499" s="1"/>
      <c r="H499" s="1"/>
      <c r="I499" s="1"/>
    </row>
    <row r="500" spans="2:9" ht="14.4">
      <c r="B500" s="1"/>
      <c r="C500" s="1"/>
      <c r="D500" s="1"/>
      <c r="E500" s="1"/>
      <c r="F500" s="1"/>
      <c r="G500" s="1"/>
      <c r="H500" s="1"/>
      <c r="I500" s="1"/>
    </row>
    <row r="501" spans="2:9" ht="14.4">
      <c r="B501" s="1"/>
      <c r="C501" s="1"/>
      <c r="D501" s="1"/>
      <c r="E501" s="1"/>
      <c r="F501" s="1"/>
      <c r="G501" s="1"/>
      <c r="H501" s="1"/>
      <c r="I501" s="1"/>
    </row>
    <row r="502" spans="2:9" ht="14.4">
      <c r="B502" s="1"/>
      <c r="C502" s="1"/>
      <c r="D502" s="1"/>
      <c r="E502" s="1"/>
      <c r="F502" s="1"/>
      <c r="G502" s="1"/>
      <c r="H502" s="1"/>
      <c r="I502" s="1"/>
    </row>
    <row r="503" spans="2:9" ht="14.4">
      <c r="B503" s="1"/>
      <c r="C503" s="1"/>
      <c r="D503" s="1"/>
      <c r="E503" s="1"/>
      <c r="F503" s="1"/>
      <c r="G503" s="1"/>
      <c r="H503" s="1"/>
      <c r="I503" s="1"/>
    </row>
    <row r="504" spans="2:9" ht="14.4">
      <c r="B504" s="1"/>
      <c r="C504" s="1"/>
      <c r="D504" s="1"/>
      <c r="E504" s="1"/>
      <c r="F504" s="1"/>
      <c r="G504" s="1"/>
      <c r="H504" s="1"/>
      <c r="I504" s="1"/>
    </row>
    <row r="505" spans="2:9" ht="14.4">
      <c r="B505" s="1"/>
      <c r="C505" s="1"/>
      <c r="D505" s="1"/>
      <c r="E505" s="1"/>
      <c r="F505" s="1"/>
      <c r="G505" s="1"/>
      <c r="H505" s="1"/>
      <c r="I505" s="1"/>
    </row>
    <row r="506" spans="2:9" ht="14.4">
      <c r="B506" s="1"/>
      <c r="C506" s="1"/>
      <c r="D506" s="1"/>
      <c r="E506" s="1"/>
      <c r="F506" s="1"/>
      <c r="G506" s="1"/>
      <c r="H506" s="1"/>
      <c r="I506" s="1"/>
    </row>
    <row r="507" spans="2:9" ht="14.4">
      <c r="B507" s="1"/>
      <c r="C507" s="1"/>
      <c r="D507" s="1"/>
      <c r="E507" s="1"/>
      <c r="F507" s="1"/>
      <c r="G507" s="1"/>
      <c r="H507" s="1"/>
      <c r="I507" s="1"/>
    </row>
    <row r="508" spans="2:9" ht="14.4">
      <c r="B508" s="1"/>
      <c r="C508" s="1"/>
      <c r="D508" s="1"/>
      <c r="E508" s="1"/>
      <c r="F508" s="1"/>
      <c r="G508" s="1"/>
      <c r="H508" s="1"/>
      <c r="I508" s="1"/>
    </row>
    <row r="509" spans="2:9" ht="14.4">
      <c r="B509" s="1"/>
      <c r="C509" s="1"/>
      <c r="D509" s="1"/>
      <c r="E509" s="1"/>
      <c r="F509" s="1"/>
      <c r="G509" s="1"/>
      <c r="H509" s="1"/>
      <c r="I509" s="1"/>
    </row>
    <row r="510" spans="2:9" ht="14.4">
      <c r="B510" s="1"/>
      <c r="C510" s="1"/>
      <c r="D510" s="1"/>
      <c r="E510" s="1"/>
      <c r="F510" s="1"/>
      <c r="G510" s="1"/>
      <c r="H510" s="1"/>
      <c r="I510" s="1"/>
    </row>
    <row r="511" spans="2:9" ht="14.4">
      <c r="B511" s="1"/>
      <c r="C511" s="1"/>
      <c r="D511" s="1"/>
      <c r="E511" s="1"/>
      <c r="F511" s="1"/>
      <c r="G511" s="1"/>
      <c r="H511" s="1"/>
      <c r="I511" s="1"/>
    </row>
    <row r="512" spans="2:9" ht="14.4">
      <c r="B512" s="1"/>
      <c r="C512" s="1"/>
      <c r="D512" s="1"/>
      <c r="E512" s="1"/>
      <c r="F512" s="1"/>
      <c r="G512" s="1"/>
      <c r="H512" s="1"/>
      <c r="I512" s="1"/>
    </row>
    <row r="513" spans="2:9" ht="14.4">
      <c r="B513" s="1"/>
      <c r="C513" s="1"/>
      <c r="D513" s="1"/>
      <c r="E513" s="1"/>
      <c r="F513" s="1"/>
      <c r="G513" s="1"/>
      <c r="H513" s="1"/>
      <c r="I513" s="1"/>
    </row>
    <row r="514" spans="2:9" ht="14.4">
      <c r="B514" s="1"/>
      <c r="C514" s="1"/>
      <c r="D514" s="1"/>
      <c r="E514" s="1"/>
      <c r="F514" s="1"/>
      <c r="G514" s="1"/>
      <c r="H514" s="1"/>
      <c r="I514" s="1"/>
    </row>
    <row r="515" spans="2:9" ht="14.4">
      <c r="B515" s="1"/>
      <c r="C515" s="1"/>
      <c r="D515" s="1"/>
      <c r="E515" s="1"/>
      <c r="F515" s="1"/>
      <c r="G515" s="1"/>
      <c r="H515" s="1"/>
      <c r="I515" s="1"/>
    </row>
    <row r="516" spans="2:9" ht="14.4">
      <c r="B516" s="1"/>
      <c r="C516" s="1"/>
      <c r="D516" s="1"/>
      <c r="E516" s="1"/>
      <c r="F516" s="1"/>
      <c r="G516" s="1"/>
      <c r="H516" s="1"/>
      <c r="I516" s="1"/>
    </row>
    <row r="517" spans="2:9" ht="14.4">
      <c r="B517" s="1"/>
      <c r="C517" s="1"/>
      <c r="D517" s="1"/>
      <c r="E517" s="1"/>
      <c r="F517" s="1"/>
      <c r="G517" s="1"/>
      <c r="H517" s="1"/>
      <c r="I517" s="1"/>
    </row>
    <row r="518" spans="2:9" ht="14.4">
      <c r="B518" s="1"/>
      <c r="C518" s="1"/>
      <c r="D518" s="1"/>
      <c r="E518" s="1"/>
      <c r="F518" s="1"/>
      <c r="G518" s="1"/>
      <c r="H518" s="1"/>
      <c r="I518" s="1"/>
    </row>
    <row r="519" spans="2:9" ht="14.4">
      <c r="B519" s="1"/>
      <c r="C519" s="1"/>
      <c r="D519" s="1"/>
      <c r="E519" s="1"/>
      <c r="F519" s="1"/>
      <c r="G519" s="1"/>
      <c r="H519" s="1"/>
      <c r="I519" s="1"/>
    </row>
    <row r="520" spans="2:9" ht="14.4">
      <c r="B520" s="1"/>
      <c r="C520" s="1"/>
      <c r="D520" s="1"/>
      <c r="E520" s="1"/>
      <c r="F520" s="1"/>
      <c r="G520" s="1"/>
      <c r="H520" s="1"/>
      <c r="I520" s="1"/>
    </row>
    <row r="521" spans="2:9" ht="14.4">
      <c r="B521" s="1"/>
      <c r="C521" s="1"/>
      <c r="D521" s="1"/>
      <c r="E521" s="1"/>
      <c r="F521" s="1"/>
      <c r="G521" s="1"/>
      <c r="H521" s="1"/>
      <c r="I521" s="1"/>
    </row>
    <row r="522" spans="2:9" ht="14.4">
      <c r="B522" s="1"/>
      <c r="C522" s="1"/>
      <c r="D522" s="1"/>
      <c r="E522" s="1"/>
      <c r="F522" s="1"/>
      <c r="G522" s="1"/>
      <c r="H522" s="1"/>
      <c r="I522" s="1"/>
    </row>
    <row r="523" spans="2:9" ht="14.4">
      <c r="B523" s="1"/>
      <c r="C523" s="1"/>
      <c r="D523" s="1"/>
      <c r="E523" s="1"/>
      <c r="F523" s="1"/>
      <c r="G523" s="1"/>
      <c r="H523" s="1"/>
      <c r="I523" s="1"/>
    </row>
    <row r="524" spans="2:9" ht="14.4">
      <c r="B524" s="1"/>
      <c r="C524" s="1"/>
      <c r="D524" s="1"/>
      <c r="E524" s="1"/>
      <c r="F524" s="1"/>
      <c r="G524" s="1"/>
      <c r="H524" s="1"/>
      <c r="I524" s="1"/>
    </row>
    <row r="525" spans="2:9" ht="14.4">
      <c r="B525" s="1"/>
      <c r="C525" s="1"/>
      <c r="D525" s="1"/>
      <c r="E525" s="1"/>
      <c r="F525" s="1"/>
      <c r="G525" s="1"/>
      <c r="H525" s="1"/>
      <c r="I525" s="1"/>
    </row>
    <row r="526" spans="2:9" ht="14.4">
      <c r="B526" s="1"/>
      <c r="C526" s="1"/>
      <c r="D526" s="1"/>
      <c r="E526" s="1"/>
      <c r="F526" s="1"/>
      <c r="G526" s="1"/>
      <c r="H526" s="1"/>
      <c r="I526" s="1"/>
    </row>
    <row r="527" spans="2:9" ht="14.4">
      <c r="B527" s="1"/>
      <c r="C527" s="1"/>
      <c r="D527" s="1"/>
      <c r="E527" s="1"/>
      <c r="F527" s="1"/>
      <c r="G527" s="1"/>
      <c r="H527" s="1"/>
      <c r="I527" s="1"/>
    </row>
    <row r="528" spans="2:9" ht="14.4">
      <c r="B528" s="1"/>
      <c r="C528" s="1"/>
      <c r="D528" s="1"/>
      <c r="E528" s="1"/>
      <c r="F528" s="1"/>
      <c r="G528" s="1"/>
      <c r="H528" s="1"/>
      <c r="I528" s="1"/>
    </row>
    <row r="529" spans="2:9" ht="14.4">
      <c r="B529" s="1"/>
      <c r="C529" s="1"/>
      <c r="D529" s="1"/>
      <c r="E529" s="1"/>
      <c r="F529" s="1"/>
      <c r="G529" s="1"/>
      <c r="H529" s="1"/>
      <c r="I529" s="1"/>
    </row>
    <row r="530" spans="2:9" ht="14.4">
      <c r="B530" s="1"/>
      <c r="C530" s="1"/>
      <c r="D530" s="1"/>
      <c r="E530" s="1"/>
      <c r="F530" s="1"/>
      <c r="G530" s="1"/>
      <c r="H530" s="1"/>
      <c r="I530" s="1"/>
    </row>
    <row r="531" spans="2:9" ht="14.4">
      <c r="B531" s="1"/>
      <c r="C531" s="1"/>
      <c r="D531" s="1"/>
      <c r="E531" s="1"/>
      <c r="F531" s="1"/>
      <c r="G531" s="1"/>
      <c r="H531" s="1"/>
      <c r="I531" s="1"/>
    </row>
    <row r="532" spans="2:9" ht="14.4">
      <c r="B532" s="1"/>
      <c r="C532" s="1"/>
      <c r="D532" s="1"/>
      <c r="E532" s="1"/>
      <c r="F532" s="1"/>
      <c r="G532" s="1"/>
      <c r="H532" s="1"/>
      <c r="I532" s="1"/>
    </row>
    <row r="533" spans="2:9" ht="14.4">
      <c r="B533" s="1"/>
      <c r="C533" s="1"/>
      <c r="D533" s="1"/>
      <c r="E533" s="1"/>
      <c r="F533" s="1"/>
      <c r="G533" s="1"/>
      <c r="H533" s="1"/>
      <c r="I533" s="1"/>
    </row>
    <row r="534" spans="2:9" ht="14.4">
      <c r="B534" s="1"/>
      <c r="C534" s="1"/>
      <c r="D534" s="1"/>
      <c r="E534" s="1"/>
      <c r="F534" s="1"/>
      <c r="G534" s="1"/>
      <c r="H534" s="1"/>
      <c r="I534" s="1"/>
    </row>
    <row r="535" spans="2:9" ht="14.4">
      <c r="B535" s="1"/>
      <c r="C535" s="1"/>
      <c r="D535" s="1"/>
      <c r="E535" s="1"/>
      <c r="F535" s="1"/>
      <c r="G535" s="1"/>
      <c r="H535" s="1"/>
      <c r="I535" s="1"/>
    </row>
    <row r="536" spans="2:9" ht="14.4">
      <c r="B536" s="1"/>
      <c r="C536" s="1"/>
      <c r="D536" s="1"/>
      <c r="E536" s="1"/>
      <c r="F536" s="1"/>
      <c r="G536" s="1"/>
      <c r="H536" s="1"/>
      <c r="I536" s="1"/>
    </row>
    <row r="537" spans="2:9" ht="14.4">
      <c r="B537" s="1"/>
      <c r="C537" s="1"/>
      <c r="D537" s="1"/>
      <c r="E537" s="1"/>
      <c r="F537" s="1"/>
      <c r="G537" s="1"/>
      <c r="H537" s="1"/>
      <c r="I537" s="1"/>
    </row>
    <row r="538" spans="2:9" ht="14.4">
      <c r="B538" s="1"/>
      <c r="C538" s="1"/>
      <c r="D538" s="1"/>
      <c r="E538" s="1"/>
      <c r="F538" s="1"/>
      <c r="G538" s="1"/>
      <c r="H538" s="1"/>
      <c r="I538" s="1"/>
    </row>
    <row r="539" spans="2:9" ht="14.4">
      <c r="B539" s="1"/>
      <c r="C539" s="1"/>
      <c r="D539" s="1"/>
      <c r="E539" s="1"/>
      <c r="F539" s="1"/>
      <c r="G539" s="1"/>
      <c r="H539" s="1"/>
      <c r="I539" s="1"/>
    </row>
    <row r="540" spans="2:9" ht="14.4">
      <c r="B540" s="1"/>
      <c r="C540" s="1"/>
      <c r="D540" s="1"/>
      <c r="E540" s="1"/>
      <c r="F540" s="1"/>
      <c r="G540" s="1"/>
      <c r="H540" s="1"/>
      <c r="I540" s="1"/>
    </row>
    <row r="541" spans="2:9" ht="14.4">
      <c r="B541" s="1"/>
      <c r="C541" s="1"/>
      <c r="D541" s="1"/>
      <c r="E541" s="1"/>
      <c r="F541" s="1"/>
      <c r="G541" s="1"/>
      <c r="H541" s="1"/>
      <c r="I541" s="1"/>
    </row>
    <row r="542" spans="2:9" ht="14.4">
      <c r="B542" s="1"/>
      <c r="C542" s="1"/>
      <c r="D542" s="1"/>
      <c r="E542" s="1"/>
      <c r="F542" s="1"/>
      <c r="G542" s="1"/>
      <c r="H542" s="1"/>
      <c r="I542" s="1"/>
    </row>
    <row r="543" spans="2:9" ht="14.4">
      <c r="B543" s="1"/>
      <c r="C543" s="1"/>
      <c r="D543" s="1"/>
      <c r="E543" s="1"/>
      <c r="F543" s="1"/>
      <c r="G543" s="1"/>
      <c r="H543" s="1"/>
      <c r="I543" s="1"/>
    </row>
    <row r="544" spans="2:9" ht="14.4">
      <c r="B544" s="1"/>
      <c r="C544" s="1"/>
      <c r="D544" s="1"/>
      <c r="E544" s="1"/>
      <c r="F544" s="1"/>
      <c r="G544" s="1"/>
      <c r="H544" s="1"/>
      <c r="I544" s="1"/>
    </row>
    <row r="545" spans="2:9" ht="14.4">
      <c r="B545" s="1"/>
      <c r="C545" s="1"/>
      <c r="D545" s="1"/>
      <c r="E545" s="1"/>
      <c r="F545" s="1"/>
      <c r="G545" s="1"/>
      <c r="H545" s="1"/>
      <c r="I545" s="1"/>
    </row>
    <row r="546" spans="2:9" ht="14.4">
      <c r="B546" s="1"/>
      <c r="C546" s="1"/>
      <c r="D546" s="1"/>
      <c r="E546" s="1"/>
      <c r="F546" s="1"/>
      <c r="G546" s="1"/>
      <c r="H546" s="1"/>
      <c r="I546" s="1"/>
    </row>
    <row r="547" spans="2:9" ht="14.4">
      <c r="B547" s="1"/>
      <c r="C547" s="1"/>
      <c r="D547" s="1"/>
      <c r="E547" s="1"/>
      <c r="F547" s="1"/>
      <c r="G547" s="1"/>
      <c r="H547" s="1"/>
      <c r="I547" s="1"/>
    </row>
    <row r="548" spans="2:9" ht="14.4">
      <c r="B548" s="1"/>
      <c r="C548" s="1"/>
      <c r="D548" s="1"/>
      <c r="E548" s="1"/>
      <c r="F548" s="1"/>
      <c r="G548" s="1"/>
      <c r="H548" s="1"/>
      <c r="I548" s="1"/>
    </row>
    <row r="549" spans="2:9" ht="14.4">
      <c r="B549" s="1"/>
      <c r="C549" s="1"/>
      <c r="D549" s="1"/>
      <c r="E549" s="1"/>
      <c r="F549" s="1"/>
      <c r="G549" s="1"/>
      <c r="H549" s="1"/>
      <c r="I549" s="1"/>
    </row>
    <row r="550" spans="2:9" ht="14.4">
      <c r="B550" s="1"/>
      <c r="C550" s="1"/>
      <c r="D550" s="1"/>
      <c r="E550" s="1"/>
      <c r="F550" s="1"/>
      <c r="G550" s="1"/>
      <c r="H550" s="1"/>
      <c r="I550" s="1"/>
    </row>
    <row r="551" spans="2:9" ht="14.4">
      <c r="B551" s="1"/>
      <c r="C551" s="1"/>
      <c r="D551" s="1"/>
      <c r="E551" s="1"/>
      <c r="F551" s="1"/>
      <c r="G551" s="1"/>
      <c r="H551" s="1"/>
      <c r="I551" s="1"/>
    </row>
    <row r="552" spans="2:9" ht="14.4">
      <c r="B552" s="1"/>
      <c r="C552" s="1"/>
      <c r="D552" s="1"/>
      <c r="E552" s="1"/>
      <c r="F552" s="1"/>
      <c r="G552" s="1"/>
      <c r="H552" s="1"/>
      <c r="I552" s="1"/>
    </row>
    <row r="553" spans="2:9" ht="14.4">
      <c r="B553" s="1"/>
      <c r="C553" s="1"/>
      <c r="D553" s="1"/>
      <c r="E553" s="1"/>
      <c r="F553" s="1"/>
      <c r="G553" s="1"/>
      <c r="H553" s="1"/>
      <c r="I553" s="1"/>
    </row>
    <row r="554" spans="2:9" ht="14.4">
      <c r="B554" s="1"/>
      <c r="C554" s="1"/>
      <c r="D554" s="1"/>
      <c r="E554" s="1"/>
      <c r="F554" s="1"/>
      <c r="G554" s="1"/>
      <c r="H554" s="1"/>
      <c r="I554" s="1"/>
    </row>
    <row r="555" spans="2:9" ht="14.4">
      <c r="B555" s="1"/>
      <c r="C555" s="1"/>
      <c r="D555" s="1"/>
      <c r="E555" s="1"/>
      <c r="F555" s="1"/>
      <c r="G555" s="1"/>
      <c r="H555" s="1"/>
      <c r="I555" s="1"/>
    </row>
    <row r="556" spans="2:9" ht="14.4">
      <c r="B556" s="1"/>
      <c r="C556" s="1"/>
      <c r="D556" s="1"/>
      <c r="E556" s="1"/>
      <c r="F556" s="1"/>
      <c r="G556" s="1"/>
      <c r="H556" s="1"/>
      <c r="I556" s="1"/>
    </row>
    <row r="557" spans="2:9" ht="14.4">
      <c r="B557" s="1"/>
      <c r="C557" s="1"/>
      <c r="D557" s="1"/>
      <c r="E557" s="1"/>
      <c r="F557" s="1"/>
      <c r="G557" s="1"/>
      <c r="H557" s="1"/>
      <c r="I557" s="1"/>
    </row>
    <row r="558" spans="2:9" ht="14.4">
      <c r="B558" s="1"/>
      <c r="C558" s="1"/>
      <c r="D558" s="1"/>
      <c r="E558" s="1"/>
      <c r="F558" s="1"/>
      <c r="G558" s="1"/>
      <c r="H558" s="1"/>
      <c r="I558" s="1"/>
    </row>
    <row r="559" spans="2:9" ht="14.4">
      <c r="B559" s="1"/>
      <c r="C559" s="1"/>
      <c r="D559" s="1"/>
      <c r="E559" s="1"/>
      <c r="F559" s="1"/>
      <c r="G559" s="1"/>
      <c r="H559" s="1"/>
      <c r="I559" s="1"/>
    </row>
    <row r="560" spans="2:9" ht="14.4">
      <c r="B560" s="1"/>
      <c r="C560" s="1"/>
      <c r="D560" s="1"/>
      <c r="E560" s="1"/>
      <c r="F560" s="1"/>
      <c r="G560" s="1"/>
      <c r="H560" s="1"/>
      <c r="I560" s="1"/>
    </row>
    <row r="561" spans="2:9" ht="14.4">
      <c r="B561" s="1"/>
      <c r="C561" s="1"/>
      <c r="D561" s="1"/>
      <c r="E561" s="1"/>
      <c r="F561" s="1"/>
      <c r="G561" s="1"/>
      <c r="H561" s="1"/>
      <c r="I561" s="1"/>
    </row>
    <row r="562" spans="2:9" ht="14.4">
      <c r="B562" s="1"/>
      <c r="C562" s="1"/>
      <c r="D562" s="1"/>
      <c r="E562" s="1"/>
      <c r="F562" s="1"/>
      <c r="G562" s="1"/>
      <c r="H562" s="1"/>
      <c r="I562" s="1"/>
    </row>
    <row r="563" spans="2:9" ht="14.4">
      <c r="B563" s="1"/>
      <c r="C563" s="1"/>
      <c r="D563" s="1"/>
      <c r="E563" s="1"/>
      <c r="F563" s="1"/>
      <c r="G563" s="1"/>
      <c r="H563" s="1"/>
      <c r="I563" s="1"/>
    </row>
    <row r="564" spans="2:9" ht="14.4">
      <c r="B564" s="1"/>
      <c r="C564" s="1"/>
      <c r="D564" s="1"/>
      <c r="E564" s="1"/>
      <c r="F564" s="1"/>
      <c r="G564" s="1"/>
      <c r="H564" s="1"/>
      <c r="I564" s="1"/>
    </row>
    <row r="565" spans="2:9" ht="14.4">
      <c r="B565" s="1"/>
      <c r="C565" s="1"/>
      <c r="D565" s="1"/>
      <c r="E565" s="1"/>
      <c r="F565" s="1"/>
      <c r="G565" s="1"/>
      <c r="H565" s="1"/>
      <c r="I565" s="1"/>
    </row>
    <row r="566" spans="2:9" ht="14.4">
      <c r="B566" s="1"/>
      <c r="C566" s="1"/>
      <c r="D566" s="1"/>
      <c r="E566" s="1"/>
      <c r="F566" s="1"/>
      <c r="G566" s="1"/>
      <c r="H566" s="1"/>
      <c r="I566" s="1"/>
    </row>
    <row r="567" spans="2:9" ht="14.4">
      <c r="B567" s="1"/>
      <c r="C567" s="1"/>
      <c r="D567" s="1"/>
      <c r="E567" s="1"/>
      <c r="F567" s="1"/>
      <c r="G567" s="1"/>
      <c r="H567" s="1"/>
      <c r="I567" s="1"/>
    </row>
    <row r="568" spans="2:9" ht="14.4">
      <c r="B568" s="1"/>
      <c r="C568" s="1"/>
      <c r="D568" s="1"/>
      <c r="E568" s="1"/>
      <c r="F568" s="1"/>
      <c r="G568" s="1"/>
      <c r="H568" s="1"/>
      <c r="I568" s="1"/>
    </row>
    <row r="569" spans="2:9" ht="14.4">
      <c r="B569" s="1"/>
      <c r="C569" s="1"/>
      <c r="D569" s="1"/>
      <c r="E569" s="1"/>
      <c r="F569" s="1"/>
      <c r="G569" s="1"/>
      <c r="H569" s="1"/>
      <c r="I569" s="1"/>
    </row>
    <row r="570" spans="2:9" ht="14.4">
      <c r="B570" s="1"/>
      <c r="C570" s="1"/>
      <c r="D570" s="1"/>
      <c r="E570" s="1"/>
      <c r="F570" s="1"/>
      <c r="G570" s="1"/>
      <c r="H570" s="1"/>
      <c r="I570" s="1"/>
    </row>
    <row r="571" spans="2:9" ht="14.4">
      <c r="B571" s="1"/>
      <c r="C571" s="1"/>
      <c r="D571" s="1"/>
      <c r="E571" s="1"/>
      <c r="F571" s="1"/>
      <c r="G571" s="1"/>
      <c r="H571" s="1"/>
      <c r="I571" s="1"/>
    </row>
    <row r="572" spans="2:9" ht="14.4">
      <c r="B572" s="1"/>
      <c r="C572" s="1"/>
      <c r="D572" s="1"/>
      <c r="E572" s="1"/>
      <c r="F572" s="1"/>
      <c r="G572" s="1"/>
      <c r="H572" s="1"/>
      <c r="I572" s="1"/>
    </row>
    <row r="573" spans="2:9" ht="14.4">
      <c r="B573" s="1"/>
      <c r="C573" s="1"/>
      <c r="D573" s="1"/>
      <c r="E573" s="1"/>
      <c r="F573" s="1"/>
      <c r="G573" s="1"/>
      <c r="H573" s="1"/>
      <c r="I573" s="1"/>
    </row>
    <row r="574" spans="2:9" ht="14.4">
      <c r="B574" s="1"/>
      <c r="C574" s="1"/>
      <c r="D574" s="1"/>
      <c r="E574" s="1"/>
      <c r="F574" s="1"/>
      <c r="G574" s="1"/>
      <c r="H574" s="1"/>
      <c r="I574" s="1"/>
    </row>
    <row r="575" spans="2:9" ht="14.4">
      <c r="B575" s="1"/>
      <c r="C575" s="1"/>
      <c r="D575" s="1"/>
      <c r="E575" s="1"/>
      <c r="F575" s="1"/>
      <c r="G575" s="1"/>
      <c r="H575" s="1"/>
      <c r="I575" s="1"/>
    </row>
    <row r="576" spans="2:9" ht="14.4">
      <c r="B576" s="1"/>
      <c r="C576" s="1"/>
      <c r="D576" s="1"/>
      <c r="E576" s="1"/>
      <c r="F576" s="1"/>
      <c r="G576" s="1"/>
      <c r="H576" s="1"/>
      <c r="I576" s="1"/>
    </row>
    <row r="577" spans="2:9" ht="14.4">
      <c r="B577" s="1"/>
      <c r="C577" s="1"/>
      <c r="D577" s="1"/>
      <c r="E577" s="1"/>
      <c r="F577" s="1"/>
      <c r="G577" s="1"/>
      <c r="H577" s="1"/>
      <c r="I577" s="1"/>
    </row>
    <row r="578" spans="2:9" ht="14.4">
      <c r="B578" s="1"/>
      <c r="C578" s="1"/>
      <c r="D578" s="1"/>
      <c r="E578" s="1"/>
      <c r="F578" s="1"/>
      <c r="G578" s="1"/>
      <c r="H578" s="1"/>
      <c r="I578" s="1"/>
    </row>
    <row r="579" spans="2:9" ht="14.4">
      <c r="B579" s="1"/>
      <c r="C579" s="1"/>
      <c r="D579" s="1"/>
      <c r="E579" s="1"/>
      <c r="F579" s="1"/>
      <c r="G579" s="1"/>
      <c r="H579" s="1"/>
      <c r="I579" s="1"/>
    </row>
    <row r="580" spans="2:9" ht="14.4">
      <c r="B580" s="1"/>
      <c r="C580" s="1"/>
      <c r="D580" s="1"/>
      <c r="E580" s="1"/>
      <c r="F580" s="1"/>
      <c r="G580" s="1"/>
      <c r="H580" s="1"/>
      <c r="I580" s="1"/>
    </row>
    <row r="581" spans="2:9" ht="14.4">
      <c r="B581" s="1"/>
      <c r="C581" s="1"/>
      <c r="D581" s="1"/>
      <c r="E581" s="1"/>
      <c r="F581" s="1"/>
      <c r="G581" s="1"/>
      <c r="H581" s="1"/>
      <c r="I581" s="1"/>
    </row>
    <row r="582" spans="2:9" ht="14.4">
      <c r="B582" s="1"/>
      <c r="C582" s="1"/>
      <c r="D582" s="1"/>
      <c r="E582" s="1"/>
      <c r="F582" s="1"/>
      <c r="G582" s="1"/>
      <c r="H582" s="1"/>
      <c r="I582" s="1"/>
    </row>
    <row r="583" spans="2:9" ht="14.4">
      <c r="B583" s="1"/>
      <c r="C583" s="1"/>
      <c r="D583" s="1"/>
      <c r="E583" s="1"/>
      <c r="F583" s="1"/>
      <c r="G583" s="1"/>
      <c r="H583" s="1"/>
      <c r="I583" s="1"/>
    </row>
    <row r="584" spans="2:9" ht="14.4">
      <c r="B584" s="1"/>
      <c r="C584" s="1"/>
      <c r="D584" s="1"/>
      <c r="E584" s="1"/>
      <c r="F584" s="1"/>
      <c r="G584" s="1"/>
      <c r="H584" s="1"/>
      <c r="I584" s="1"/>
    </row>
    <row r="585" spans="2:9" ht="14.4">
      <c r="B585" s="1"/>
      <c r="C585" s="1"/>
      <c r="D585" s="1"/>
      <c r="E585" s="1"/>
      <c r="F585" s="1"/>
      <c r="G585" s="1"/>
      <c r="H585" s="1"/>
      <c r="I585" s="1"/>
    </row>
    <row r="586" spans="2:9" ht="14.4">
      <c r="B586" s="1"/>
      <c r="C586" s="1"/>
      <c r="D586" s="1"/>
      <c r="E586" s="1"/>
      <c r="F586" s="1"/>
      <c r="G586" s="1"/>
      <c r="H586" s="1"/>
      <c r="I586" s="1"/>
    </row>
    <row r="587" spans="2:9" ht="14.4">
      <c r="B587" s="1"/>
      <c r="C587" s="1"/>
      <c r="D587" s="1"/>
      <c r="E587" s="1"/>
      <c r="F587" s="1"/>
      <c r="G587" s="1"/>
      <c r="H587" s="1"/>
      <c r="I587" s="1"/>
    </row>
    <row r="588" spans="2:9" ht="14.4">
      <c r="B588" s="1"/>
      <c r="C588" s="1"/>
      <c r="D588" s="1"/>
      <c r="E588" s="1"/>
      <c r="F588" s="1"/>
      <c r="G588" s="1"/>
      <c r="H588" s="1"/>
      <c r="I588" s="1"/>
    </row>
    <row r="589" spans="2:9" ht="14.4">
      <c r="B589" s="1"/>
      <c r="C589" s="1"/>
      <c r="D589" s="1"/>
      <c r="E589" s="1"/>
      <c r="F589" s="1"/>
      <c r="G589" s="1"/>
      <c r="H589" s="1"/>
      <c r="I589" s="1"/>
    </row>
    <row r="590" spans="2:9" ht="14.4">
      <c r="B590" s="1"/>
      <c r="C590" s="1"/>
      <c r="D590" s="1"/>
      <c r="E590" s="1"/>
      <c r="F590" s="1"/>
      <c r="G590" s="1"/>
      <c r="H590" s="1"/>
      <c r="I590" s="1"/>
    </row>
    <row r="591" spans="2:9" ht="14.4">
      <c r="B591" s="1"/>
      <c r="C591" s="1"/>
      <c r="D591" s="1"/>
      <c r="E591" s="1"/>
      <c r="F591" s="1"/>
      <c r="G591" s="1"/>
      <c r="H591" s="1"/>
      <c r="I591" s="1"/>
    </row>
    <row r="592" spans="2:9" ht="14.4">
      <c r="B592" s="1"/>
      <c r="C592" s="1"/>
      <c r="D592" s="1"/>
      <c r="E592" s="1"/>
      <c r="F592" s="1"/>
      <c r="G592" s="1"/>
      <c r="H592" s="1"/>
      <c r="I592" s="1"/>
    </row>
    <row r="593" spans="2:9" ht="14.4">
      <c r="B593" s="1"/>
      <c r="C593" s="1"/>
      <c r="D593" s="1"/>
      <c r="E593" s="1"/>
      <c r="F593" s="1"/>
      <c r="G593" s="1"/>
      <c r="H593" s="1"/>
      <c r="I593" s="1"/>
    </row>
    <row r="594" spans="2:9" ht="14.4">
      <c r="B594" s="1"/>
      <c r="C594" s="1"/>
      <c r="D594" s="1"/>
      <c r="E594" s="1"/>
      <c r="F594" s="1"/>
      <c r="G594" s="1"/>
      <c r="H594" s="1"/>
      <c r="I594" s="1"/>
    </row>
    <row r="595" spans="2:9" ht="14.4">
      <c r="B595" s="1"/>
      <c r="C595" s="1"/>
      <c r="D595" s="1"/>
      <c r="E595" s="1"/>
      <c r="F595" s="1"/>
      <c r="G595" s="1"/>
      <c r="H595" s="1"/>
      <c r="I595" s="1"/>
    </row>
    <row r="596" spans="2:9" ht="14.4">
      <c r="B596" s="1"/>
      <c r="C596" s="1"/>
      <c r="D596" s="1"/>
      <c r="E596" s="1"/>
      <c r="F596" s="1"/>
      <c r="G596" s="1"/>
      <c r="H596" s="1"/>
      <c r="I596" s="1"/>
    </row>
    <row r="597" spans="2:9" ht="14.4">
      <c r="B597" s="1"/>
      <c r="C597" s="1"/>
      <c r="D597" s="1"/>
      <c r="E597" s="1"/>
      <c r="F597" s="1"/>
      <c r="G597" s="1"/>
      <c r="H597" s="1"/>
      <c r="I597" s="1"/>
    </row>
    <row r="598" spans="2:9" ht="14.4">
      <c r="B598" s="1"/>
      <c r="C598" s="1"/>
      <c r="D598" s="1"/>
      <c r="E598" s="1"/>
      <c r="F598" s="1"/>
      <c r="G598" s="1"/>
      <c r="H598" s="1"/>
      <c r="I598" s="1"/>
    </row>
    <row r="599" spans="2:9" ht="14.4">
      <c r="B599" s="1"/>
      <c r="C599" s="1"/>
      <c r="D599" s="1"/>
      <c r="E599" s="1"/>
      <c r="F599" s="1"/>
      <c r="G599" s="1"/>
      <c r="H599" s="1"/>
      <c r="I599" s="1"/>
    </row>
    <row r="600" spans="2:9" ht="14.4">
      <c r="B600" s="1"/>
      <c r="C600" s="1"/>
      <c r="D600" s="1"/>
      <c r="E600" s="1"/>
      <c r="F600" s="1"/>
      <c r="G600" s="1"/>
      <c r="H600" s="1"/>
      <c r="I600" s="1"/>
    </row>
    <row r="601" spans="2:9" ht="14.4">
      <c r="B601" s="1"/>
      <c r="C601" s="1"/>
      <c r="D601" s="1"/>
      <c r="E601" s="1"/>
      <c r="F601" s="1"/>
      <c r="G601" s="1"/>
      <c r="H601" s="1"/>
      <c r="I601" s="1"/>
    </row>
    <row r="602" spans="2:9" ht="14.4">
      <c r="B602" s="1"/>
      <c r="C602" s="1"/>
      <c r="D602" s="1"/>
      <c r="E602" s="1"/>
      <c r="F602" s="1"/>
      <c r="G602" s="1"/>
      <c r="H602" s="1"/>
      <c r="I602" s="1"/>
    </row>
    <row r="603" spans="2:9" ht="14.4">
      <c r="B603" s="1"/>
      <c r="C603" s="1"/>
      <c r="D603" s="1"/>
      <c r="E603" s="1"/>
      <c r="F603" s="1"/>
      <c r="G603" s="1"/>
      <c r="H603" s="1"/>
      <c r="I603" s="1"/>
    </row>
    <row r="604" spans="2:9" ht="14.4">
      <c r="B604" s="1"/>
      <c r="C604" s="1"/>
      <c r="D604" s="1"/>
      <c r="E604" s="1"/>
      <c r="F604" s="1"/>
      <c r="G604" s="1"/>
      <c r="H604" s="1"/>
      <c r="I604" s="1"/>
    </row>
    <row r="605" spans="2:9" ht="14.4">
      <c r="B605" s="1"/>
      <c r="C605" s="1"/>
      <c r="D605" s="1"/>
      <c r="E605" s="1"/>
      <c r="F605" s="1"/>
      <c r="G605" s="1"/>
      <c r="H605" s="1"/>
      <c r="I605" s="1"/>
    </row>
    <row r="606" spans="2:9" ht="14.4">
      <c r="B606" s="1"/>
      <c r="C606" s="1"/>
      <c r="D606" s="1"/>
      <c r="E606" s="1"/>
      <c r="F606" s="1"/>
      <c r="G606" s="1"/>
      <c r="H606" s="1"/>
      <c r="I606" s="1"/>
    </row>
    <row r="607" spans="2:9" ht="14.4">
      <c r="B607" s="1"/>
      <c r="C607" s="1"/>
      <c r="D607" s="1"/>
      <c r="E607" s="1"/>
      <c r="F607" s="1"/>
      <c r="G607" s="1"/>
      <c r="H607" s="1"/>
      <c r="I607" s="1"/>
    </row>
    <row r="608" spans="2:9" ht="14.4">
      <c r="B608" s="1"/>
      <c r="C608" s="1"/>
      <c r="D608" s="1"/>
      <c r="E608" s="1"/>
      <c r="F608" s="1"/>
      <c r="G608" s="1"/>
      <c r="H608" s="1"/>
      <c r="I608" s="1"/>
    </row>
    <row r="609" spans="2:9" ht="14.4">
      <c r="B609" s="1"/>
      <c r="C609" s="1"/>
      <c r="D609" s="1"/>
      <c r="E609" s="1"/>
      <c r="F609" s="1"/>
      <c r="G609" s="1"/>
      <c r="H609" s="1"/>
      <c r="I609" s="1"/>
    </row>
    <row r="610" spans="2:9" ht="14.4">
      <c r="B610" s="1"/>
      <c r="C610" s="1"/>
      <c r="D610" s="1"/>
      <c r="E610" s="1"/>
      <c r="F610" s="1"/>
      <c r="G610" s="1"/>
      <c r="H610" s="1"/>
      <c r="I610" s="1"/>
    </row>
    <row r="611" spans="2:9" ht="14.4">
      <c r="B611" s="1"/>
      <c r="C611" s="1"/>
      <c r="D611" s="1"/>
      <c r="E611" s="1"/>
      <c r="F611" s="1"/>
      <c r="G611" s="1"/>
      <c r="H611" s="1"/>
      <c r="I611" s="1"/>
    </row>
    <row r="612" spans="2:9" ht="14.4">
      <c r="B612" s="1"/>
      <c r="C612" s="1"/>
      <c r="D612" s="1"/>
      <c r="E612" s="1"/>
      <c r="F612" s="1"/>
      <c r="G612" s="1"/>
      <c r="H612" s="1"/>
      <c r="I612" s="1"/>
    </row>
    <row r="613" spans="2:9" ht="14.4">
      <c r="B613" s="1"/>
      <c r="C613" s="1"/>
      <c r="D613" s="1"/>
      <c r="E613" s="1"/>
      <c r="F613" s="1"/>
      <c r="G613" s="1"/>
      <c r="H613" s="1"/>
      <c r="I613" s="1"/>
    </row>
    <row r="614" spans="2:9" ht="14.4">
      <c r="B614" s="1"/>
      <c r="C614" s="1"/>
      <c r="D614" s="1"/>
      <c r="E614" s="1"/>
      <c r="F614" s="1"/>
      <c r="G614" s="1"/>
      <c r="H614" s="1"/>
      <c r="I614" s="1"/>
    </row>
    <row r="615" spans="2:9" ht="14.4">
      <c r="B615" s="1"/>
      <c r="C615" s="1"/>
      <c r="D615" s="1"/>
      <c r="E615" s="1"/>
      <c r="F615" s="1"/>
      <c r="G615" s="1"/>
      <c r="H615" s="1"/>
      <c r="I615" s="1"/>
    </row>
    <row r="616" spans="2:9" ht="14.4">
      <c r="B616" s="1"/>
      <c r="C616" s="1"/>
      <c r="D616" s="1"/>
      <c r="E616" s="1"/>
      <c r="F616" s="1"/>
      <c r="G616" s="1"/>
      <c r="H616" s="1"/>
      <c r="I616" s="1"/>
    </row>
    <row r="617" spans="2:9" ht="14.4">
      <c r="B617" s="1"/>
      <c r="C617" s="1"/>
      <c r="D617" s="1"/>
      <c r="E617" s="1"/>
      <c r="F617" s="1"/>
      <c r="G617" s="1"/>
      <c r="H617" s="1"/>
      <c r="I617" s="1"/>
    </row>
    <row r="618" spans="2:9" ht="14.4">
      <c r="B618" s="1"/>
      <c r="C618" s="1"/>
      <c r="D618" s="1"/>
      <c r="E618" s="1"/>
      <c r="F618" s="1"/>
      <c r="G618" s="1"/>
      <c r="H618" s="1"/>
      <c r="I618" s="1"/>
    </row>
    <row r="619" spans="2:9" ht="14.4">
      <c r="B619" s="1"/>
      <c r="C619" s="1"/>
      <c r="D619" s="1"/>
      <c r="E619" s="1"/>
      <c r="F619" s="1"/>
      <c r="G619" s="1"/>
      <c r="H619" s="1"/>
      <c r="I619" s="1"/>
    </row>
    <row r="620" spans="2:9" ht="14.4">
      <c r="B620" s="1"/>
      <c r="C620" s="1"/>
      <c r="D620" s="1"/>
      <c r="E620" s="1"/>
      <c r="F620" s="1"/>
      <c r="G620" s="1"/>
      <c r="H620" s="1"/>
      <c r="I620" s="1"/>
    </row>
    <row r="621" spans="2:9" ht="14.4">
      <c r="B621" s="1"/>
      <c r="C621" s="1"/>
      <c r="D621" s="1"/>
      <c r="E621" s="1"/>
      <c r="F621" s="1"/>
      <c r="G621" s="1"/>
      <c r="H621" s="1"/>
      <c r="I621" s="1"/>
    </row>
    <row r="622" spans="2:9" ht="14.4">
      <c r="B622" s="1"/>
      <c r="C622" s="1"/>
      <c r="D622" s="1"/>
      <c r="E622" s="1"/>
      <c r="F622" s="1"/>
      <c r="G622" s="1"/>
      <c r="H622" s="1"/>
      <c r="I622" s="1"/>
    </row>
    <row r="623" spans="2:9" ht="14.4">
      <c r="B623" s="1"/>
      <c r="C623" s="1"/>
      <c r="D623" s="1"/>
      <c r="E623" s="1"/>
      <c r="F623" s="1"/>
      <c r="G623" s="1"/>
      <c r="H623" s="1"/>
      <c r="I623" s="1"/>
    </row>
    <row r="624" spans="2:9" ht="14.4">
      <c r="B624" s="1"/>
      <c r="C624" s="1"/>
      <c r="D624" s="1"/>
      <c r="E624" s="1"/>
      <c r="F624" s="1"/>
      <c r="G624" s="1"/>
      <c r="H624" s="1"/>
      <c r="I624" s="1"/>
    </row>
    <row r="625" spans="2:9" ht="14.4">
      <c r="B625" s="1"/>
      <c r="C625" s="1"/>
      <c r="D625" s="1"/>
      <c r="E625" s="1"/>
      <c r="F625" s="1"/>
      <c r="G625" s="1"/>
      <c r="H625" s="1"/>
      <c r="I625" s="1"/>
    </row>
    <row r="626" spans="2:9" ht="14.4">
      <c r="B626" s="1"/>
      <c r="C626" s="1"/>
      <c r="D626" s="1"/>
      <c r="E626" s="1"/>
      <c r="F626" s="1"/>
      <c r="G626" s="1"/>
      <c r="H626" s="1"/>
      <c r="I626" s="1"/>
    </row>
    <row r="627" spans="2:9" ht="14.4">
      <c r="B627" s="1"/>
      <c r="C627" s="1"/>
      <c r="D627" s="1"/>
      <c r="E627" s="1"/>
      <c r="F627" s="1"/>
      <c r="G627" s="1"/>
      <c r="H627" s="1"/>
      <c r="I627" s="1"/>
    </row>
    <row r="628" spans="2:9" ht="14.4">
      <c r="B628" s="1"/>
      <c r="C628" s="1"/>
      <c r="D628" s="1"/>
      <c r="E628" s="1"/>
      <c r="F628" s="1"/>
      <c r="G628" s="1"/>
      <c r="H628" s="1"/>
      <c r="I628" s="1"/>
    </row>
    <row r="629" spans="2:9" ht="14.4">
      <c r="B629" s="1"/>
      <c r="C629" s="1"/>
      <c r="D629" s="1"/>
      <c r="E629" s="1"/>
      <c r="F629" s="1"/>
      <c r="G629" s="1"/>
      <c r="H629" s="1"/>
      <c r="I629" s="1"/>
    </row>
    <row r="630" spans="2:9" ht="14.4">
      <c r="B630" s="1"/>
      <c r="C630" s="1"/>
      <c r="D630" s="1"/>
      <c r="E630" s="1"/>
      <c r="F630" s="1"/>
      <c r="G630" s="1"/>
      <c r="H630" s="1"/>
      <c r="I630" s="1"/>
    </row>
    <row r="631" spans="2:9" ht="14.4">
      <c r="B631" s="1"/>
      <c r="C631" s="1"/>
      <c r="D631" s="1"/>
      <c r="E631" s="1"/>
      <c r="F631" s="1"/>
      <c r="G631" s="1"/>
      <c r="H631" s="1"/>
      <c r="I631" s="1"/>
    </row>
    <row r="632" spans="2:9" ht="14.4">
      <c r="B632" s="1"/>
      <c r="C632" s="1"/>
      <c r="D632" s="1"/>
      <c r="E632" s="1"/>
      <c r="F632" s="1"/>
      <c r="G632" s="1"/>
      <c r="H632" s="1"/>
      <c r="I632" s="1"/>
    </row>
    <row r="633" spans="2:9" ht="14.4">
      <c r="B633" s="1"/>
      <c r="C633" s="1"/>
      <c r="D633" s="1"/>
      <c r="E633" s="1"/>
      <c r="F633" s="1"/>
      <c r="G633" s="1"/>
      <c r="H633" s="1"/>
      <c r="I633" s="1"/>
    </row>
    <row r="634" spans="2:9" ht="14.4">
      <c r="B634" s="1"/>
      <c r="C634" s="1"/>
      <c r="D634" s="1"/>
      <c r="E634" s="1"/>
      <c r="F634" s="1"/>
      <c r="G634" s="1"/>
      <c r="H634" s="1"/>
      <c r="I634" s="1"/>
    </row>
    <row r="635" spans="2:9" ht="14.4">
      <c r="B635" s="1"/>
      <c r="C635" s="1"/>
      <c r="D635" s="1"/>
      <c r="E635" s="1"/>
      <c r="F635" s="1"/>
      <c r="G635" s="1"/>
      <c r="H635" s="1"/>
      <c r="I635" s="1"/>
    </row>
    <row r="636" spans="2:9" ht="14.4">
      <c r="B636" s="1"/>
      <c r="C636" s="1"/>
      <c r="D636" s="1"/>
      <c r="E636" s="1"/>
      <c r="F636" s="1"/>
      <c r="G636" s="1"/>
      <c r="H636" s="1"/>
      <c r="I636" s="1"/>
    </row>
    <row r="637" spans="2:9" ht="14.4">
      <c r="B637" s="1"/>
      <c r="C637" s="1"/>
      <c r="D637" s="1"/>
      <c r="E637" s="1"/>
      <c r="F637" s="1"/>
      <c r="G637" s="1"/>
      <c r="H637" s="1"/>
      <c r="I637" s="1"/>
    </row>
    <row r="638" spans="2:9" ht="14.4">
      <c r="B638" s="1"/>
      <c r="C638" s="1"/>
      <c r="D638" s="1"/>
      <c r="E638" s="1"/>
      <c r="F638" s="1"/>
      <c r="G638" s="1"/>
      <c r="H638" s="1"/>
      <c r="I638" s="1"/>
    </row>
    <row r="639" spans="2:9" ht="14.4">
      <c r="B639" s="1"/>
      <c r="C639" s="1"/>
      <c r="D639" s="1"/>
      <c r="E639" s="1"/>
      <c r="F639" s="1"/>
      <c r="G639" s="1"/>
      <c r="H639" s="1"/>
      <c r="I639" s="1"/>
    </row>
    <row r="640" spans="2:9" ht="14.4">
      <c r="B640" s="1"/>
      <c r="C640" s="1"/>
      <c r="D640" s="1"/>
      <c r="E640" s="1"/>
      <c r="F640" s="1"/>
      <c r="G640" s="1"/>
      <c r="H640" s="1"/>
      <c r="I640" s="1"/>
    </row>
    <row r="641" spans="2:9" ht="14.4">
      <c r="B641" s="1"/>
      <c r="C641" s="1"/>
      <c r="D641" s="1"/>
      <c r="E641" s="1"/>
      <c r="F641" s="1"/>
      <c r="G641" s="1"/>
      <c r="H641" s="1"/>
      <c r="I641" s="1"/>
    </row>
    <row r="642" spans="2:9" ht="14.4">
      <c r="B642" s="1"/>
      <c r="C642" s="1"/>
      <c r="D642" s="1"/>
      <c r="E642" s="1"/>
      <c r="F642" s="1"/>
      <c r="G642" s="1"/>
      <c r="H642" s="1"/>
      <c r="I642" s="1"/>
    </row>
    <row r="643" spans="2:9" ht="14.4">
      <c r="B643" s="1"/>
      <c r="C643" s="1"/>
      <c r="D643" s="1"/>
      <c r="E643" s="1"/>
      <c r="F643" s="1"/>
      <c r="G643" s="1"/>
      <c r="H643" s="1"/>
      <c r="I643" s="1"/>
    </row>
    <row r="644" spans="2:9" ht="14.4">
      <c r="B644" s="1"/>
      <c r="C644" s="1"/>
      <c r="D644" s="1"/>
      <c r="E644" s="1"/>
      <c r="F644" s="1"/>
      <c r="G644" s="1"/>
      <c r="H644" s="1"/>
      <c r="I644" s="1"/>
    </row>
    <row r="645" spans="2:9" ht="14.4">
      <c r="B645" s="1"/>
      <c r="C645" s="1"/>
      <c r="D645" s="1"/>
      <c r="E645" s="1"/>
      <c r="F645" s="1"/>
      <c r="G645" s="1"/>
      <c r="H645" s="1"/>
      <c r="I645" s="1"/>
    </row>
    <row r="646" spans="2:9" ht="14.4">
      <c r="B646" s="1"/>
      <c r="C646" s="1"/>
      <c r="D646" s="1"/>
      <c r="E646" s="1"/>
      <c r="F646" s="1"/>
      <c r="G646" s="1"/>
      <c r="H646" s="1"/>
      <c r="I646" s="1"/>
    </row>
    <row r="647" spans="2:9" ht="14.4">
      <c r="B647" s="1"/>
      <c r="C647" s="1"/>
      <c r="D647" s="1"/>
      <c r="E647" s="1"/>
      <c r="F647" s="1"/>
      <c r="G647" s="1"/>
      <c r="H647" s="1"/>
      <c r="I647" s="1"/>
    </row>
    <row r="648" spans="2:9" ht="14.4">
      <c r="B648" s="1"/>
      <c r="C648" s="1"/>
      <c r="D648" s="1"/>
      <c r="E648" s="1"/>
      <c r="F648" s="1"/>
      <c r="G648" s="1"/>
      <c r="H648" s="1"/>
      <c r="I648" s="1"/>
    </row>
    <row r="649" spans="2:9" ht="14.4">
      <c r="B649" s="1"/>
      <c r="C649" s="1"/>
      <c r="D649" s="1"/>
      <c r="E649" s="1"/>
      <c r="F649" s="1"/>
      <c r="G649" s="1"/>
      <c r="H649" s="1"/>
      <c r="I649" s="1"/>
    </row>
    <row r="650" spans="2:9" ht="14.4">
      <c r="B650" s="1"/>
      <c r="C650" s="1"/>
      <c r="D650" s="1"/>
      <c r="E650" s="1"/>
      <c r="F650" s="1"/>
      <c r="G650" s="1"/>
      <c r="H650" s="1"/>
      <c r="I650" s="1"/>
    </row>
    <row r="651" spans="2:9" ht="14.4">
      <c r="B651" s="1"/>
      <c r="C651" s="1"/>
      <c r="D651" s="1"/>
      <c r="E651" s="1"/>
      <c r="F651" s="1"/>
      <c r="G651" s="1"/>
      <c r="H651" s="1"/>
      <c r="I651" s="1"/>
    </row>
    <row r="652" spans="2:9" ht="14.4">
      <c r="B652" s="1"/>
      <c r="C652" s="1"/>
      <c r="D652" s="1"/>
      <c r="E652" s="1"/>
      <c r="F652" s="1"/>
      <c r="G652" s="1"/>
      <c r="H652" s="1"/>
      <c r="I652" s="1"/>
    </row>
    <row r="653" spans="2:9" ht="14.4">
      <c r="B653" s="1"/>
      <c r="C653" s="1"/>
      <c r="D653" s="1"/>
      <c r="E653" s="1"/>
      <c r="F653" s="1"/>
      <c r="G653" s="1"/>
      <c r="H653" s="1"/>
      <c r="I653" s="1"/>
    </row>
    <row r="654" spans="2:9" ht="14.4">
      <c r="B654" s="1"/>
      <c r="C654" s="1"/>
      <c r="D654" s="1"/>
      <c r="E654" s="1"/>
      <c r="F654" s="1"/>
      <c r="G654" s="1"/>
      <c r="H654" s="1"/>
      <c r="I654" s="1"/>
    </row>
    <row r="655" spans="2:9" ht="14.4">
      <c r="B655" s="1"/>
      <c r="C655" s="1"/>
      <c r="D655" s="1"/>
      <c r="E655" s="1"/>
      <c r="F655" s="1"/>
      <c r="G655" s="1"/>
      <c r="H655" s="1"/>
      <c r="I655" s="1"/>
    </row>
    <row r="656" spans="2:9" ht="14.4">
      <c r="B656" s="1"/>
      <c r="C656" s="1"/>
      <c r="D656" s="1"/>
      <c r="E656" s="1"/>
      <c r="F656" s="1"/>
      <c r="G656" s="1"/>
      <c r="H656" s="1"/>
      <c r="I656" s="1"/>
    </row>
    <row r="657" spans="2:9" ht="14.4">
      <c r="B657" s="1"/>
      <c r="C657" s="1"/>
      <c r="D657" s="1"/>
      <c r="E657" s="1"/>
      <c r="F657" s="1"/>
      <c r="G657" s="1"/>
      <c r="H657" s="1"/>
      <c r="I657" s="1"/>
    </row>
    <row r="658" spans="2:9" ht="14.4">
      <c r="B658" s="1"/>
      <c r="C658" s="1"/>
      <c r="D658" s="1"/>
      <c r="E658" s="1"/>
      <c r="F658" s="1"/>
      <c r="G658" s="1"/>
      <c r="H658" s="1"/>
      <c r="I658" s="1"/>
    </row>
    <row r="659" spans="2:9" ht="14.4">
      <c r="B659" s="1"/>
      <c r="C659" s="1"/>
      <c r="D659" s="1"/>
      <c r="E659" s="1"/>
      <c r="F659" s="1"/>
      <c r="G659" s="1"/>
      <c r="H659" s="1"/>
      <c r="I659" s="1"/>
    </row>
    <row r="660" spans="2:9" ht="14.4">
      <c r="B660" s="1"/>
      <c r="C660" s="1"/>
      <c r="D660" s="1"/>
      <c r="E660" s="1"/>
      <c r="F660" s="1"/>
      <c r="G660" s="1"/>
      <c r="H660" s="1"/>
      <c r="I660" s="1"/>
    </row>
    <row r="661" spans="2:9" ht="14.4">
      <c r="B661" s="1"/>
      <c r="C661" s="1"/>
      <c r="D661" s="1"/>
      <c r="E661" s="1"/>
      <c r="F661" s="1"/>
      <c r="G661" s="1"/>
      <c r="H661" s="1"/>
      <c r="I661" s="1"/>
    </row>
    <row r="662" spans="2:9" ht="14.4">
      <c r="B662" s="1"/>
      <c r="C662" s="1"/>
      <c r="D662" s="1"/>
      <c r="E662" s="1"/>
      <c r="F662" s="1"/>
      <c r="G662" s="1"/>
      <c r="H662" s="1"/>
      <c r="I662" s="1"/>
    </row>
    <row r="663" spans="2:9" ht="14.4">
      <c r="B663" s="1"/>
      <c r="C663" s="1"/>
      <c r="D663" s="1"/>
      <c r="E663" s="1"/>
      <c r="F663" s="1"/>
      <c r="G663" s="1"/>
      <c r="H663" s="1"/>
      <c r="I663" s="1"/>
    </row>
    <row r="664" spans="2:9" ht="14.4">
      <c r="B664" s="1"/>
      <c r="C664" s="1"/>
      <c r="D664" s="1"/>
      <c r="E664" s="1"/>
      <c r="F664" s="1"/>
      <c r="G664" s="1"/>
      <c r="H664" s="1"/>
      <c r="I664" s="1"/>
    </row>
    <row r="665" spans="2:9" ht="14.4">
      <c r="B665" s="1"/>
      <c r="C665" s="1"/>
      <c r="D665" s="1"/>
      <c r="E665" s="1"/>
      <c r="F665" s="1"/>
      <c r="G665" s="1"/>
      <c r="H665" s="1"/>
      <c r="I665" s="1"/>
    </row>
    <row r="666" spans="2:9" ht="14.4">
      <c r="B666" s="1"/>
      <c r="C666" s="1"/>
      <c r="D666" s="1"/>
      <c r="E666" s="1"/>
      <c r="F666" s="1"/>
      <c r="G666" s="1"/>
      <c r="H666" s="1"/>
      <c r="I666" s="1"/>
    </row>
    <row r="667" spans="2:9" ht="14.4">
      <c r="B667" s="1"/>
      <c r="C667" s="1"/>
      <c r="D667" s="1"/>
      <c r="E667" s="1"/>
      <c r="F667" s="1"/>
      <c r="G667" s="1"/>
      <c r="H667" s="1"/>
      <c r="I667" s="1"/>
    </row>
    <row r="668" spans="2:9" ht="14.4">
      <c r="B668" s="1"/>
      <c r="C668" s="1"/>
      <c r="D668" s="1"/>
      <c r="E668" s="1"/>
      <c r="F668" s="1"/>
      <c r="G668" s="1"/>
      <c r="H668" s="1"/>
      <c r="I668" s="1"/>
    </row>
    <row r="669" spans="2:9" ht="14.4">
      <c r="B669" s="1"/>
      <c r="C669" s="1"/>
      <c r="D669" s="1"/>
      <c r="E669" s="1"/>
      <c r="F669" s="1"/>
      <c r="G669" s="1"/>
      <c r="H669" s="1"/>
      <c r="I669" s="1"/>
    </row>
    <row r="670" spans="2:9" ht="14.4">
      <c r="B670" s="1"/>
      <c r="C670" s="1"/>
      <c r="D670" s="1"/>
      <c r="E670" s="1"/>
      <c r="F670" s="1"/>
      <c r="G670" s="1"/>
      <c r="H670" s="1"/>
      <c r="I670" s="1"/>
    </row>
    <row r="671" spans="2:9" ht="14.4">
      <c r="B671" s="1"/>
      <c r="C671" s="1"/>
      <c r="D671" s="1"/>
      <c r="E671" s="1"/>
      <c r="F671" s="1"/>
      <c r="G671" s="1"/>
      <c r="H671" s="1"/>
      <c r="I671" s="1"/>
    </row>
    <row r="672" spans="2:9" ht="14.4">
      <c r="B672" s="1"/>
      <c r="C672" s="1"/>
      <c r="D672" s="1"/>
      <c r="E672" s="1"/>
      <c r="F672" s="1"/>
      <c r="G672" s="1"/>
      <c r="H672" s="1"/>
      <c r="I672" s="1"/>
    </row>
    <row r="673" spans="2:9" ht="14.4">
      <c r="B673" s="1"/>
      <c r="C673" s="1"/>
      <c r="D673" s="1"/>
      <c r="E673" s="1"/>
      <c r="F673" s="1"/>
      <c r="G673" s="1"/>
      <c r="H673" s="1"/>
      <c r="I673" s="1"/>
    </row>
    <row r="674" spans="2:9" ht="14.4">
      <c r="B674" s="1"/>
      <c r="C674" s="1"/>
      <c r="D674" s="1"/>
      <c r="E674" s="1"/>
      <c r="F674" s="1"/>
      <c r="G674" s="1"/>
      <c r="H674" s="1"/>
      <c r="I674" s="1"/>
    </row>
    <row r="675" spans="2:9" ht="14.4">
      <c r="B675" s="1"/>
      <c r="C675" s="1"/>
      <c r="D675" s="1"/>
      <c r="E675" s="1"/>
      <c r="F675" s="1"/>
      <c r="G675" s="1"/>
      <c r="H675" s="1"/>
      <c r="I675" s="1"/>
    </row>
    <row r="676" spans="2:9" ht="14.4">
      <c r="B676" s="1"/>
      <c r="C676" s="1"/>
      <c r="D676" s="1"/>
      <c r="E676" s="1"/>
      <c r="F676" s="1"/>
      <c r="G676" s="1"/>
      <c r="H676" s="1"/>
      <c r="I676" s="1"/>
    </row>
    <row r="677" spans="2:9" ht="14.4">
      <c r="B677" s="1"/>
      <c r="C677" s="1"/>
      <c r="D677" s="1"/>
      <c r="E677" s="1"/>
      <c r="F677" s="1"/>
      <c r="G677" s="1"/>
      <c r="H677" s="1"/>
      <c r="I677" s="1"/>
    </row>
    <row r="678" spans="2:9" ht="14.4">
      <c r="B678" s="1"/>
      <c r="C678" s="1"/>
      <c r="D678" s="1"/>
      <c r="E678" s="1"/>
      <c r="F678" s="1"/>
      <c r="G678" s="1"/>
      <c r="H678" s="1"/>
      <c r="I678" s="1"/>
    </row>
    <row r="679" spans="2:9" ht="14.4">
      <c r="B679" s="1"/>
      <c r="C679" s="1"/>
      <c r="D679" s="1"/>
      <c r="E679" s="1"/>
      <c r="F679" s="1"/>
      <c r="G679" s="1"/>
      <c r="H679" s="1"/>
      <c r="I679" s="1"/>
    </row>
    <row r="680" spans="2:9" ht="14.4">
      <c r="B680" s="1"/>
      <c r="C680" s="1"/>
      <c r="D680" s="1"/>
      <c r="E680" s="1"/>
      <c r="F680" s="1"/>
      <c r="G680" s="1"/>
      <c r="H680" s="1"/>
      <c r="I680" s="1"/>
    </row>
    <row r="681" spans="2:9" ht="14.4">
      <c r="B681" s="1"/>
      <c r="C681" s="1"/>
      <c r="D681" s="1"/>
      <c r="E681" s="1"/>
      <c r="F681" s="1"/>
      <c r="G681" s="1"/>
      <c r="H681" s="1"/>
      <c r="I681" s="1"/>
    </row>
    <row r="682" spans="2:9" ht="14.4">
      <c r="B682" s="1"/>
      <c r="C682" s="1"/>
      <c r="D682" s="1"/>
      <c r="E682" s="1"/>
      <c r="F682" s="1"/>
      <c r="G682" s="1"/>
      <c r="H682" s="1"/>
      <c r="I682" s="1"/>
    </row>
    <row r="683" spans="2:9" ht="14.4">
      <c r="B683" s="1"/>
      <c r="C683" s="1"/>
      <c r="D683" s="1"/>
      <c r="E683" s="1"/>
      <c r="F683" s="1"/>
      <c r="G683" s="1"/>
      <c r="H683" s="1"/>
      <c r="I683" s="1"/>
    </row>
    <row r="684" spans="2:9" ht="14.4">
      <c r="B684" s="1"/>
      <c r="C684" s="1"/>
      <c r="D684" s="1"/>
      <c r="E684" s="1"/>
      <c r="F684" s="1"/>
      <c r="G684" s="1"/>
      <c r="H684" s="1"/>
      <c r="I684" s="1"/>
    </row>
    <row r="685" spans="2:9" ht="14.4">
      <c r="B685" s="1"/>
      <c r="C685" s="1"/>
      <c r="D685" s="1"/>
      <c r="E685" s="1"/>
      <c r="F685" s="1"/>
      <c r="G685" s="1"/>
      <c r="H685" s="1"/>
      <c r="I685" s="1"/>
    </row>
    <row r="686" spans="2:9" ht="14.4">
      <c r="B686" s="1"/>
      <c r="C686" s="1"/>
      <c r="D686" s="1"/>
      <c r="E686" s="1"/>
      <c r="F686" s="1"/>
      <c r="G686" s="1"/>
      <c r="H686" s="1"/>
      <c r="I686" s="1"/>
    </row>
    <row r="687" spans="2:9" ht="14.4">
      <c r="B687" s="1"/>
      <c r="C687" s="1"/>
      <c r="D687" s="1"/>
      <c r="E687" s="1"/>
      <c r="F687" s="1"/>
      <c r="G687" s="1"/>
      <c r="H687" s="1"/>
      <c r="I687" s="1"/>
    </row>
    <row r="688" spans="2:9" ht="14.4">
      <c r="B688" s="1"/>
      <c r="C688" s="1"/>
      <c r="D688" s="1"/>
      <c r="E688" s="1"/>
      <c r="F688" s="1"/>
      <c r="G688" s="1"/>
      <c r="H688" s="1"/>
      <c r="I688" s="1"/>
    </row>
    <row r="689" spans="2:9" ht="14.4">
      <c r="B689" s="1"/>
      <c r="C689" s="1"/>
      <c r="D689" s="1"/>
      <c r="E689" s="1"/>
      <c r="F689" s="1"/>
      <c r="G689" s="1"/>
      <c r="H689" s="1"/>
      <c r="I689" s="1"/>
    </row>
    <row r="690" spans="2:9" ht="14.4">
      <c r="B690" s="1"/>
      <c r="C690" s="1"/>
      <c r="D690" s="1"/>
      <c r="E690" s="1"/>
      <c r="F690" s="1"/>
      <c r="G690" s="1"/>
      <c r="H690" s="1"/>
      <c r="I690" s="1"/>
    </row>
    <row r="691" spans="2:9" ht="14.4">
      <c r="B691" s="1"/>
      <c r="C691" s="1"/>
      <c r="D691" s="1"/>
      <c r="E691" s="1"/>
      <c r="F691" s="1"/>
      <c r="G691" s="1"/>
      <c r="H691" s="1"/>
      <c r="I691" s="1"/>
    </row>
    <row r="692" spans="2:9" ht="14.4">
      <c r="B692" s="1"/>
      <c r="C692" s="1"/>
      <c r="D692" s="1"/>
      <c r="E692" s="1"/>
      <c r="F692" s="1"/>
      <c r="G692" s="1"/>
      <c r="H692" s="1"/>
      <c r="I692" s="1"/>
    </row>
    <row r="693" spans="2:9" ht="14.4">
      <c r="B693" s="1"/>
      <c r="C693" s="1"/>
      <c r="D693" s="1"/>
      <c r="E693" s="1"/>
      <c r="F693" s="1"/>
      <c r="G693" s="1"/>
      <c r="H693" s="1"/>
      <c r="I693" s="1"/>
    </row>
    <row r="694" spans="2:9" ht="14.4">
      <c r="B694" s="1"/>
      <c r="C694" s="1"/>
      <c r="D694" s="1"/>
      <c r="E694" s="1"/>
      <c r="F694" s="1"/>
      <c r="G694" s="1"/>
      <c r="H694" s="1"/>
      <c r="I694" s="1"/>
    </row>
    <row r="695" spans="2:9" ht="14.4">
      <c r="B695" s="1"/>
      <c r="C695" s="1"/>
      <c r="D695" s="1"/>
      <c r="E695" s="1"/>
      <c r="F695" s="1"/>
      <c r="G695" s="1"/>
      <c r="H695" s="1"/>
      <c r="I695" s="1"/>
    </row>
    <row r="696" spans="2:9" ht="14.4">
      <c r="B696" s="1"/>
      <c r="C696" s="1"/>
      <c r="D696" s="1"/>
      <c r="E696" s="1"/>
      <c r="F696" s="1"/>
      <c r="G696" s="1"/>
      <c r="H696" s="1"/>
      <c r="I696" s="1"/>
    </row>
    <row r="697" spans="2:9" ht="14.4">
      <c r="B697" s="1"/>
      <c r="C697" s="1"/>
      <c r="D697" s="1"/>
      <c r="E697" s="1"/>
      <c r="F697" s="1"/>
      <c r="G697" s="1"/>
      <c r="H697" s="1"/>
      <c r="I697" s="1"/>
    </row>
    <row r="698" spans="2:9" ht="14.4">
      <c r="B698" s="1"/>
      <c r="C698" s="1"/>
      <c r="D698" s="1"/>
      <c r="E698" s="1"/>
      <c r="F698" s="1"/>
      <c r="G698" s="1"/>
      <c r="H698" s="1"/>
      <c r="I698" s="1"/>
    </row>
    <row r="699" spans="2:9" ht="14.4">
      <c r="B699" s="1"/>
      <c r="C699" s="1"/>
      <c r="D699" s="1"/>
      <c r="E699" s="1"/>
      <c r="F699" s="1"/>
      <c r="G699" s="1"/>
      <c r="H699" s="1"/>
      <c r="I699" s="1"/>
    </row>
    <row r="700" spans="2:9" ht="14.4">
      <c r="B700" s="1"/>
      <c r="C700" s="1"/>
      <c r="D700" s="1"/>
      <c r="E700" s="1"/>
      <c r="F700" s="1"/>
      <c r="G700" s="1"/>
      <c r="H700" s="1"/>
      <c r="I700" s="1"/>
    </row>
    <row r="701" spans="2:9" ht="14.4">
      <c r="B701" s="1"/>
      <c r="C701" s="1"/>
      <c r="D701" s="1"/>
      <c r="E701" s="1"/>
      <c r="F701" s="1"/>
      <c r="G701" s="1"/>
      <c r="H701" s="1"/>
      <c r="I701" s="1"/>
    </row>
    <row r="702" spans="2:9" ht="14.4">
      <c r="B702" s="1"/>
      <c r="C702" s="1"/>
      <c r="D702" s="1"/>
      <c r="E702" s="1"/>
      <c r="F702" s="1"/>
      <c r="G702" s="1"/>
      <c r="H702" s="1"/>
      <c r="I702" s="1"/>
    </row>
    <row r="703" spans="2:9" ht="14.4">
      <c r="B703" s="1"/>
      <c r="C703" s="1"/>
      <c r="D703" s="1"/>
      <c r="E703" s="1"/>
      <c r="F703" s="1"/>
      <c r="G703" s="1"/>
      <c r="H703" s="1"/>
      <c r="I703" s="1"/>
    </row>
    <row r="704" spans="2:9" ht="14.4">
      <c r="B704" s="1"/>
      <c r="C704" s="1"/>
      <c r="D704" s="1"/>
      <c r="E704" s="1"/>
      <c r="F704" s="1"/>
      <c r="G704" s="1"/>
      <c r="H704" s="1"/>
      <c r="I704" s="1"/>
    </row>
    <row r="705" spans="2:9" ht="14.4">
      <c r="B705" s="1"/>
      <c r="C705" s="1"/>
      <c r="D705" s="1"/>
      <c r="E705" s="1"/>
      <c r="F705" s="1"/>
      <c r="G705" s="1"/>
      <c r="H705" s="1"/>
      <c r="I705" s="1"/>
    </row>
    <row r="706" spans="2:9" ht="14.4">
      <c r="B706" s="1"/>
      <c r="C706" s="1"/>
      <c r="D706" s="1"/>
      <c r="E706" s="1"/>
      <c r="F706" s="1"/>
      <c r="G706" s="1"/>
      <c r="H706" s="1"/>
      <c r="I706" s="1"/>
    </row>
    <row r="707" spans="2:9" ht="14.4">
      <c r="B707" s="1"/>
      <c r="C707" s="1"/>
      <c r="D707" s="1"/>
      <c r="E707" s="1"/>
      <c r="F707" s="1"/>
      <c r="G707" s="1"/>
      <c r="H707" s="1"/>
      <c r="I707" s="1"/>
    </row>
    <row r="708" spans="2:9" ht="14.4">
      <c r="B708" s="1"/>
      <c r="C708" s="1"/>
      <c r="D708" s="1"/>
      <c r="E708" s="1"/>
      <c r="F708" s="1"/>
      <c r="G708" s="1"/>
      <c r="H708" s="1"/>
      <c r="I708" s="1"/>
    </row>
    <row r="709" spans="2:9" ht="14.4">
      <c r="B709" s="1"/>
      <c r="C709" s="1"/>
      <c r="D709" s="1"/>
      <c r="E709" s="1"/>
      <c r="F709" s="1"/>
      <c r="G709" s="1"/>
      <c r="H709" s="1"/>
      <c r="I709" s="1"/>
    </row>
    <row r="710" spans="2:9" ht="14.4">
      <c r="B710" s="1"/>
      <c r="C710" s="1"/>
      <c r="D710" s="1"/>
      <c r="E710" s="1"/>
      <c r="F710" s="1"/>
      <c r="G710" s="1"/>
      <c r="H710" s="1"/>
      <c r="I710" s="1"/>
    </row>
    <row r="711" spans="2:9" ht="14.4">
      <c r="B711" s="1"/>
      <c r="C711" s="1"/>
      <c r="D711" s="1"/>
      <c r="E711" s="1"/>
      <c r="F711" s="1"/>
      <c r="G711" s="1"/>
      <c r="H711" s="1"/>
      <c r="I711" s="1"/>
    </row>
    <row r="712" spans="2:9" ht="14.4">
      <c r="B712" s="1"/>
      <c r="C712" s="1"/>
      <c r="D712" s="1"/>
      <c r="E712" s="1"/>
      <c r="F712" s="1"/>
      <c r="G712" s="1"/>
      <c r="H712" s="1"/>
      <c r="I712" s="1"/>
    </row>
    <row r="713" spans="2:9" ht="14.4">
      <c r="B713" s="1"/>
      <c r="C713" s="1"/>
      <c r="D713" s="1"/>
      <c r="E713" s="1"/>
      <c r="F713" s="1"/>
      <c r="G713" s="1"/>
      <c r="H713" s="1"/>
      <c r="I713" s="1"/>
    </row>
    <row r="714" spans="2:9" ht="14.4">
      <c r="B714" s="1"/>
      <c r="C714" s="1"/>
      <c r="D714" s="1"/>
      <c r="E714" s="1"/>
      <c r="F714" s="1"/>
      <c r="G714" s="1"/>
      <c r="H714" s="1"/>
      <c r="I714" s="1"/>
    </row>
    <row r="715" spans="2:9" ht="14.4">
      <c r="B715" s="1"/>
      <c r="C715" s="1"/>
      <c r="D715" s="1"/>
      <c r="E715" s="1"/>
      <c r="F715" s="1"/>
      <c r="G715" s="1"/>
      <c r="H715" s="1"/>
      <c r="I715" s="1"/>
    </row>
    <row r="716" spans="2:9" ht="14.4">
      <c r="B716" s="1"/>
      <c r="C716" s="1"/>
      <c r="D716" s="1"/>
      <c r="E716" s="1"/>
      <c r="F716" s="1"/>
      <c r="G716" s="1"/>
      <c r="H716" s="1"/>
      <c r="I716" s="1"/>
    </row>
    <row r="717" spans="2:9" ht="14.4">
      <c r="B717" s="1"/>
      <c r="C717" s="1"/>
      <c r="D717" s="1"/>
      <c r="E717" s="1"/>
      <c r="F717" s="1"/>
      <c r="G717" s="1"/>
      <c r="H717" s="1"/>
      <c r="I717" s="1"/>
    </row>
    <row r="718" spans="2:9" ht="14.4">
      <c r="B718" s="1"/>
      <c r="C718" s="1"/>
      <c r="D718" s="1"/>
      <c r="E718" s="1"/>
      <c r="F718" s="1"/>
      <c r="G718" s="1"/>
      <c r="H718" s="1"/>
      <c r="I718" s="1"/>
    </row>
    <row r="719" spans="2:9" ht="14.4">
      <c r="B719" s="1"/>
      <c r="C719" s="1"/>
      <c r="D719" s="1"/>
      <c r="E719" s="1"/>
      <c r="F719" s="1"/>
      <c r="G719" s="1"/>
      <c r="H719" s="1"/>
      <c r="I719" s="1"/>
    </row>
    <row r="720" spans="2:9" ht="14.4">
      <c r="B720" s="1"/>
      <c r="C720" s="1"/>
      <c r="D720" s="1"/>
      <c r="E720" s="1"/>
      <c r="F720" s="1"/>
      <c r="G720" s="1"/>
      <c r="H720" s="1"/>
      <c r="I720" s="1"/>
    </row>
    <row r="721" spans="2:9" ht="14.4">
      <c r="B721" s="1"/>
      <c r="C721" s="1"/>
      <c r="D721" s="1"/>
      <c r="E721" s="1"/>
      <c r="F721" s="1"/>
      <c r="G721" s="1"/>
      <c r="H721" s="1"/>
      <c r="I721" s="1"/>
    </row>
    <row r="722" spans="2:9" ht="14.4">
      <c r="B722" s="1"/>
      <c r="C722" s="1"/>
      <c r="D722" s="1"/>
      <c r="E722" s="1"/>
      <c r="F722" s="1"/>
      <c r="G722" s="1"/>
      <c r="H722" s="1"/>
      <c r="I722" s="1"/>
    </row>
    <row r="723" spans="2:9" ht="14.4">
      <c r="B723" s="1"/>
      <c r="C723" s="1"/>
      <c r="D723" s="1"/>
      <c r="E723" s="1"/>
      <c r="F723" s="1"/>
      <c r="G723" s="1"/>
      <c r="H723" s="1"/>
      <c r="I723" s="1"/>
    </row>
    <row r="724" spans="2:9" ht="14.4">
      <c r="B724" s="1"/>
      <c r="C724" s="1"/>
      <c r="D724" s="1"/>
      <c r="E724" s="1"/>
      <c r="F724" s="1"/>
      <c r="G724" s="1"/>
      <c r="H724" s="1"/>
      <c r="I724" s="1"/>
    </row>
    <row r="725" spans="2:9" ht="14.4">
      <c r="B725" s="1"/>
      <c r="C725" s="1"/>
      <c r="D725" s="1"/>
      <c r="E725" s="1"/>
      <c r="F725" s="1"/>
      <c r="G725" s="1"/>
      <c r="H725" s="1"/>
      <c r="I725" s="1"/>
    </row>
    <row r="726" spans="2:9" ht="14.4">
      <c r="B726" s="1"/>
      <c r="C726" s="1"/>
      <c r="D726" s="1"/>
      <c r="E726" s="1"/>
      <c r="F726" s="1"/>
      <c r="G726" s="1"/>
      <c r="H726" s="1"/>
      <c r="I726" s="1"/>
    </row>
    <row r="727" spans="2:9" ht="14.4">
      <c r="B727" s="1"/>
      <c r="C727" s="1"/>
      <c r="D727" s="1"/>
      <c r="E727" s="1"/>
      <c r="F727" s="1"/>
      <c r="G727" s="1"/>
      <c r="H727" s="1"/>
      <c r="I727" s="1"/>
    </row>
    <row r="728" spans="2:9" ht="14.4">
      <c r="B728" s="1"/>
      <c r="C728" s="1"/>
      <c r="D728" s="1"/>
      <c r="E728" s="1"/>
      <c r="F728" s="1"/>
      <c r="G728" s="1"/>
      <c r="H728" s="1"/>
      <c r="I728" s="1"/>
    </row>
    <row r="729" spans="2:9" ht="14.4">
      <c r="B729" s="1"/>
      <c r="C729" s="1"/>
      <c r="D729" s="1"/>
      <c r="E729" s="1"/>
      <c r="F729" s="1"/>
      <c r="G729" s="1"/>
      <c r="H729" s="1"/>
      <c r="I729" s="1"/>
    </row>
    <row r="730" spans="2:9" ht="14.4">
      <c r="B730" s="1"/>
      <c r="C730" s="1"/>
      <c r="D730" s="1"/>
      <c r="E730" s="1"/>
      <c r="F730" s="1"/>
      <c r="G730" s="1"/>
      <c r="H730" s="1"/>
      <c r="I730" s="1"/>
    </row>
    <row r="731" spans="2:9" ht="14.4">
      <c r="B731" s="1"/>
      <c r="C731" s="1"/>
      <c r="D731" s="1"/>
      <c r="E731" s="1"/>
      <c r="F731" s="1"/>
      <c r="G731" s="1"/>
      <c r="H731" s="1"/>
      <c r="I731" s="1"/>
    </row>
    <row r="732" spans="2:9" ht="14.4">
      <c r="B732" s="1"/>
      <c r="C732" s="1"/>
      <c r="D732" s="1"/>
      <c r="E732" s="1"/>
      <c r="F732" s="1"/>
      <c r="G732" s="1"/>
      <c r="H732" s="1"/>
      <c r="I732" s="1"/>
    </row>
    <row r="733" spans="2:9" ht="14.4">
      <c r="B733" s="1"/>
      <c r="C733" s="1"/>
      <c r="D733" s="1"/>
      <c r="E733" s="1"/>
      <c r="F733" s="1"/>
      <c r="G733" s="1"/>
      <c r="H733" s="1"/>
      <c r="I733" s="1"/>
    </row>
    <row r="734" spans="2:9" ht="14.4">
      <c r="B734" s="1"/>
      <c r="C734" s="1"/>
      <c r="D734" s="1"/>
      <c r="E734" s="1"/>
      <c r="F734" s="1"/>
      <c r="G734" s="1"/>
      <c r="H734" s="1"/>
      <c r="I734" s="1"/>
    </row>
    <row r="735" spans="2:9" ht="14.4">
      <c r="B735" s="1"/>
      <c r="C735" s="1"/>
      <c r="D735" s="1"/>
      <c r="E735" s="1"/>
      <c r="F735" s="1"/>
      <c r="G735" s="1"/>
      <c r="H735" s="1"/>
      <c r="I735" s="1"/>
    </row>
    <row r="736" spans="2:9" ht="14.4">
      <c r="B736" s="1"/>
      <c r="C736" s="1"/>
      <c r="D736" s="1"/>
      <c r="E736" s="1"/>
      <c r="F736" s="1"/>
      <c r="G736" s="1"/>
      <c r="H736" s="1"/>
      <c r="I736" s="1"/>
    </row>
    <row r="737" spans="2:9" ht="14.4">
      <c r="B737" s="1"/>
      <c r="C737" s="1"/>
      <c r="D737" s="1"/>
      <c r="E737" s="1"/>
      <c r="F737" s="1"/>
      <c r="G737" s="1"/>
      <c r="H737" s="1"/>
      <c r="I737" s="1"/>
    </row>
    <row r="738" spans="2:9" ht="14.4">
      <c r="B738" s="1"/>
      <c r="C738" s="1"/>
      <c r="D738" s="1"/>
      <c r="E738" s="1"/>
      <c r="F738" s="1"/>
      <c r="G738" s="1"/>
      <c r="H738" s="1"/>
      <c r="I738" s="1"/>
    </row>
    <row r="739" spans="2:9" ht="14.4">
      <c r="B739" s="1"/>
      <c r="C739" s="1"/>
      <c r="D739" s="1"/>
      <c r="E739" s="1"/>
      <c r="F739" s="1"/>
      <c r="G739" s="1"/>
      <c r="H739" s="1"/>
      <c r="I739" s="1"/>
    </row>
    <row r="740" spans="2:9" ht="14.4">
      <c r="B740" s="1"/>
      <c r="C740" s="1"/>
      <c r="D740" s="1"/>
      <c r="E740" s="1"/>
      <c r="F740" s="1"/>
      <c r="G740" s="1"/>
      <c r="H740" s="1"/>
      <c r="I740" s="1"/>
    </row>
    <row r="741" spans="2:9" ht="14.4">
      <c r="B741" s="1"/>
      <c r="C741" s="1"/>
      <c r="D741" s="1"/>
      <c r="E741" s="1"/>
      <c r="F741" s="1"/>
      <c r="G741" s="1"/>
      <c r="H741" s="1"/>
      <c r="I741" s="1"/>
    </row>
    <row r="742" spans="2:9" ht="14.4">
      <c r="B742" s="1"/>
      <c r="C742" s="1"/>
      <c r="D742" s="1"/>
      <c r="E742" s="1"/>
      <c r="F742" s="1"/>
      <c r="G742" s="1"/>
      <c r="H742" s="1"/>
      <c r="I742" s="1"/>
    </row>
    <row r="743" spans="2:9" ht="14.4">
      <c r="B743" s="1"/>
      <c r="C743" s="1"/>
      <c r="D743" s="1"/>
      <c r="E743" s="1"/>
      <c r="F743" s="1"/>
      <c r="G743" s="1"/>
      <c r="H743" s="1"/>
      <c r="I743" s="1"/>
    </row>
    <row r="744" spans="2:9" ht="14.4">
      <c r="B744" s="1"/>
      <c r="C744" s="1"/>
      <c r="D744" s="1"/>
      <c r="E744" s="1"/>
      <c r="F744" s="1"/>
      <c r="G744" s="1"/>
      <c r="H744" s="1"/>
      <c r="I744" s="1"/>
    </row>
    <row r="745" spans="2:9" ht="14.4">
      <c r="B745" s="1"/>
      <c r="C745" s="1"/>
      <c r="D745" s="1"/>
      <c r="E745" s="1"/>
      <c r="F745" s="1"/>
      <c r="G745" s="1"/>
      <c r="H745" s="1"/>
      <c r="I745" s="1"/>
    </row>
    <row r="746" spans="2:9" ht="14.4">
      <c r="B746" s="1"/>
      <c r="C746" s="1"/>
      <c r="D746" s="1"/>
      <c r="E746" s="1"/>
      <c r="F746" s="1"/>
      <c r="G746" s="1"/>
      <c r="H746" s="1"/>
      <c r="I746" s="1"/>
    </row>
    <row r="747" spans="2:9" ht="14.4">
      <c r="B747" s="1"/>
      <c r="C747" s="1"/>
      <c r="D747" s="1"/>
      <c r="E747" s="1"/>
      <c r="F747" s="1"/>
      <c r="G747" s="1"/>
      <c r="H747" s="1"/>
      <c r="I747" s="1"/>
    </row>
    <row r="748" spans="2:9" ht="14.4">
      <c r="B748" s="1"/>
      <c r="C748" s="1"/>
      <c r="D748" s="1"/>
      <c r="E748" s="1"/>
      <c r="F748" s="1"/>
      <c r="G748" s="1"/>
      <c r="H748" s="1"/>
      <c r="I748" s="1"/>
    </row>
    <row r="749" spans="2:9" ht="14.4">
      <c r="B749" s="1"/>
      <c r="C749" s="1"/>
      <c r="D749" s="1"/>
      <c r="E749" s="1"/>
      <c r="F749" s="1"/>
      <c r="G749" s="1"/>
      <c r="H749" s="1"/>
      <c r="I749" s="1"/>
    </row>
    <row r="750" spans="2:9" ht="14.4">
      <c r="B750" s="1"/>
      <c r="C750" s="1"/>
      <c r="D750" s="1"/>
      <c r="E750" s="1"/>
      <c r="F750" s="1"/>
      <c r="G750" s="1"/>
      <c r="H750" s="1"/>
      <c r="I750" s="1"/>
    </row>
    <row r="751" spans="2:9" ht="14.4">
      <c r="B751" s="1"/>
      <c r="C751" s="1"/>
      <c r="D751" s="1"/>
      <c r="E751" s="1"/>
      <c r="F751" s="1"/>
      <c r="G751" s="1"/>
      <c r="H751" s="1"/>
      <c r="I751" s="1"/>
    </row>
    <row r="752" spans="2:9" ht="14.4">
      <c r="B752" s="1"/>
      <c r="C752" s="1"/>
      <c r="D752" s="1"/>
      <c r="E752" s="1"/>
      <c r="F752" s="1"/>
      <c r="G752" s="1"/>
      <c r="H752" s="1"/>
      <c r="I752" s="1"/>
    </row>
    <row r="753" spans="2:9" ht="14.4">
      <c r="B753" s="1"/>
      <c r="C753" s="1"/>
      <c r="D753" s="1"/>
      <c r="E753" s="1"/>
      <c r="F753" s="1"/>
      <c r="G753" s="1"/>
      <c r="H753" s="1"/>
      <c r="I753" s="1"/>
    </row>
    <row r="754" spans="2:9" ht="14.4">
      <c r="B754" s="1"/>
      <c r="C754" s="1"/>
      <c r="D754" s="1"/>
      <c r="E754" s="1"/>
      <c r="F754" s="1"/>
      <c r="G754" s="1"/>
      <c r="H754" s="1"/>
      <c r="I754" s="1"/>
    </row>
    <row r="755" spans="2:9" ht="14.4">
      <c r="B755" s="1"/>
      <c r="C755" s="1"/>
      <c r="D755" s="1"/>
      <c r="E755" s="1"/>
      <c r="F755" s="1"/>
      <c r="G755" s="1"/>
      <c r="H755" s="1"/>
      <c r="I755" s="1"/>
    </row>
    <row r="756" spans="2:9" ht="14.4">
      <c r="B756" s="1"/>
      <c r="C756" s="1"/>
      <c r="D756" s="1"/>
      <c r="E756" s="1"/>
      <c r="F756" s="1"/>
      <c r="G756" s="1"/>
      <c r="H756" s="1"/>
      <c r="I756" s="1"/>
    </row>
    <row r="757" spans="2:9" ht="14.4">
      <c r="B757" s="1"/>
      <c r="C757" s="1"/>
      <c r="D757" s="1"/>
      <c r="E757" s="1"/>
      <c r="F757" s="1"/>
      <c r="G757" s="1"/>
      <c r="H757" s="1"/>
      <c r="I757" s="1"/>
    </row>
    <row r="758" spans="2:9" ht="14.4">
      <c r="B758" s="1"/>
      <c r="C758" s="1"/>
      <c r="D758" s="1"/>
      <c r="E758" s="1"/>
      <c r="F758" s="1"/>
      <c r="G758" s="1"/>
      <c r="H758" s="1"/>
      <c r="I758" s="1"/>
    </row>
    <row r="759" spans="2:9" ht="14.4">
      <c r="B759" s="1"/>
      <c r="C759" s="1"/>
      <c r="D759" s="1"/>
      <c r="E759" s="1"/>
      <c r="F759" s="1"/>
      <c r="G759" s="1"/>
      <c r="H759" s="1"/>
      <c r="I759" s="1"/>
    </row>
    <row r="760" spans="2:9" ht="14.4">
      <c r="B760" s="1"/>
      <c r="C760" s="1"/>
      <c r="D760" s="1"/>
      <c r="E760" s="1"/>
      <c r="F760" s="1"/>
      <c r="G760" s="1"/>
      <c r="H760" s="1"/>
      <c r="I760" s="1"/>
    </row>
    <row r="761" spans="2:9" ht="14.4">
      <c r="B761" s="1"/>
      <c r="C761" s="1"/>
      <c r="D761" s="1"/>
      <c r="E761" s="1"/>
      <c r="F761" s="1"/>
      <c r="G761" s="1"/>
      <c r="H761" s="1"/>
      <c r="I761" s="1"/>
    </row>
    <row r="762" spans="2:9" ht="14.4">
      <c r="B762" s="1"/>
      <c r="C762" s="1"/>
      <c r="D762" s="1"/>
      <c r="E762" s="1"/>
      <c r="F762" s="1"/>
      <c r="G762" s="1"/>
      <c r="H762" s="1"/>
      <c r="I762" s="1"/>
    </row>
    <row r="763" spans="2:9" ht="14.4">
      <c r="B763" s="1"/>
      <c r="C763" s="1"/>
      <c r="D763" s="1"/>
      <c r="E763" s="1"/>
      <c r="F763" s="1"/>
      <c r="G763" s="1"/>
      <c r="H763" s="1"/>
      <c r="I763" s="1"/>
    </row>
    <row r="764" spans="2:9" ht="14.4">
      <c r="B764" s="1"/>
      <c r="C764" s="1"/>
      <c r="D764" s="1"/>
      <c r="E764" s="1"/>
      <c r="F764" s="1"/>
      <c r="G764" s="1"/>
      <c r="H764" s="1"/>
      <c r="I764" s="1"/>
    </row>
    <row r="765" spans="2:9" ht="14.4">
      <c r="B765" s="1"/>
      <c r="C765" s="1"/>
      <c r="D765" s="1"/>
      <c r="E765" s="1"/>
      <c r="F765" s="1"/>
      <c r="G765" s="1"/>
      <c r="H765" s="1"/>
      <c r="I765" s="1"/>
    </row>
    <row r="766" spans="2:9" ht="14.4">
      <c r="B766" s="1"/>
      <c r="C766" s="1"/>
      <c r="D766" s="1"/>
      <c r="E766" s="1"/>
      <c r="F766" s="1"/>
      <c r="G766" s="1"/>
      <c r="H766" s="1"/>
      <c r="I766" s="1"/>
    </row>
    <row r="767" spans="2:9" ht="14.4">
      <c r="B767" s="1"/>
      <c r="C767" s="1"/>
      <c r="D767" s="1"/>
      <c r="E767" s="1"/>
      <c r="F767" s="1"/>
      <c r="G767" s="1"/>
      <c r="H767" s="1"/>
      <c r="I767" s="1"/>
    </row>
    <row r="768" spans="2:9" ht="14.4">
      <c r="B768" s="1"/>
      <c r="C768" s="1"/>
      <c r="D768" s="1"/>
      <c r="E768" s="1"/>
      <c r="F768" s="1"/>
      <c r="G768" s="1"/>
      <c r="H768" s="1"/>
      <c r="I768" s="1"/>
    </row>
    <row r="769" spans="2:9" ht="14.4">
      <c r="B769" s="1"/>
      <c r="C769" s="1"/>
      <c r="D769" s="1"/>
      <c r="E769" s="1"/>
      <c r="F769" s="1"/>
      <c r="G769" s="1"/>
      <c r="H769" s="1"/>
      <c r="I769" s="1"/>
    </row>
    <row r="770" spans="2:9" ht="14.4">
      <c r="B770" s="1"/>
      <c r="C770" s="1"/>
      <c r="D770" s="1"/>
      <c r="E770" s="1"/>
      <c r="F770" s="1"/>
      <c r="G770" s="1"/>
      <c r="H770" s="1"/>
      <c r="I770" s="1"/>
    </row>
    <row r="771" spans="2:9" ht="14.4">
      <c r="B771" s="1"/>
      <c r="C771" s="1"/>
      <c r="D771" s="1"/>
      <c r="E771" s="1"/>
      <c r="F771" s="1"/>
      <c r="G771" s="1"/>
      <c r="H771" s="1"/>
      <c r="I771" s="1"/>
    </row>
    <row r="772" spans="2:9" ht="14.4">
      <c r="B772" s="1"/>
      <c r="C772" s="1"/>
      <c r="D772" s="1"/>
      <c r="E772" s="1"/>
      <c r="F772" s="1"/>
      <c r="G772" s="1"/>
      <c r="H772" s="1"/>
      <c r="I772" s="1"/>
    </row>
    <row r="773" spans="2:9" ht="14.4">
      <c r="B773" s="1"/>
      <c r="C773" s="1"/>
      <c r="D773" s="1"/>
      <c r="E773" s="1"/>
      <c r="F773" s="1"/>
      <c r="G773" s="1"/>
      <c r="H773" s="1"/>
      <c r="I773" s="1"/>
    </row>
    <row r="774" spans="2:9" ht="14.4">
      <c r="B774" s="1"/>
      <c r="C774" s="1"/>
      <c r="D774" s="1"/>
      <c r="E774" s="1"/>
      <c r="F774" s="1"/>
      <c r="G774" s="1"/>
      <c r="H774" s="1"/>
      <c r="I774" s="1"/>
    </row>
    <row r="775" spans="2:9" ht="14.4">
      <c r="B775" s="1"/>
      <c r="C775" s="1"/>
      <c r="D775" s="1"/>
      <c r="E775" s="1"/>
      <c r="F775" s="1"/>
      <c r="G775" s="1"/>
      <c r="H775" s="1"/>
      <c r="I775" s="1"/>
    </row>
    <row r="776" spans="2:9" ht="14.4">
      <c r="B776" s="1"/>
      <c r="C776" s="1"/>
      <c r="D776" s="1"/>
      <c r="E776" s="1"/>
      <c r="F776" s="1"/>
      <c r="G776" s="1"/>
      <c r="H776" s="1"/>
      <c r="I776" s="1"/>
    </row>
    <row r="777" spans="2:9" ht="14.4">
      <c r="B777" s="1"/>
      <c r="C777" s="1"/>
      <c r="D777" s="1"/>
      <c r="E777" s="1"/>
      <c r="F777" s="1"/>
      <c r="G777" s="1"/>
      <c r="H777" s="1"/>
      <c r="I777" s="1"/>
    </row>
    <row r="778" spans="2:9" ht="14.4">
      <c r="B778" s="1"/>
      <c r="C778" s="1"/>
      <c r="D778" s="1"/>
      <c r="E778" s="1"/>
      <c r="F778" s="1"/>
      <c r="G778" s="1"/>
      <c r="H778" s="1"/>
      <c r="I778" s="1"/>
    </row>
    <row r="779" spans="2:9" ht="14.4">
      <c r="B779" s="1"/>
      <c r="C779" s="1"/>
      <c r="D779" s="1"/>
      <c r="E779" s="1"/>
      <c r="F779" s="1"/>
      <c r="G779" s="1"/>
      <c r="H779" s="1"/>
      <c r="I779" s="1"/>
    </row>
    <row r="780" spans="2:9" ht="14.4">
      <c r="B780" s="1"/>
      <c r="C780" s="1"/>
      <c r="D780" s="1"/>
      <c r="E780" s="1"/>
      <c r="F780" s="1"/>
      <c r="G780" s="1"/>
      <c r="H780" s="1"/>
      <c r="I780" s="1"/>
    </row>
    <row r="781" spans="2:9" ht="14.4">
      <c r="B781" s="1"/>
      <c r="C781" s="1"/>
      <c r="D781" s="1"/>
      <c r="E781" s="1"/>
      <c r="F781" s="1"/>
      <c r="G781" s="1"/>
      <c r="H781" s="1"/>
      <c r="I781" s="1"/>
    </row>
    <row r="782" spans="2:9" ht="14.4">
      <c r="B782" s="1"/>
      <c r="C782" s="1"/>
      <c r="D782" s="1"/>
      <c r="E782" s="1"/>
      <c r="F782" s="1"/>
      <c r="G782" s="1"/>
      <c r="H782" s="1"/>
      <c r="I782" s="1"/>
    </row>
    <row r="783" spans="2:9" ht="14.4">
      <c r="B783" s="1"/>
      <c r="C783" s="1"/>
      <c r="D783" s="1"/>
      <c r="E783" s="1"/>
      <c r="F783" s="1"/>
      <c r="G783" s="1"/>
      <c r="H783" s="1"/>
      <c r="I783" s="1"/>
    </row>
    <row r="784" spans="2:9" ht="14.4">
      <c r="B784" s="1"/>
      <c r="C784" s="1"/>
      <c r="D784" s="1"/>
      <c r="E784" s="1"/>
      <c r="F784" s="1"/>
      <c r="G784" s="1"/>
      <c r="H784" s="1"/>
      <c r="I784" s="1"/>
    </row>
    <row r="785" spans="2:9" ht="14.4">
      <c r="B785" s="1"/>
      <c r="C785" s="1"/>
      <c r="D785" s="1"/>
      <c r="E785" s="1"/>
      <c r="F785" s="1"/>
      <c r="G785" s="1"/>
      <c r="H785" s="1"/>
      <c r="I785" s="1"/>
    </row>
    <row r="786" spans="2:9" ht="14.4">
      <c r="B786" s="1"/>
      <c r="C786" s="1"/>
      <c r="D786" s="1"/>
      <c r="E786" s="1"/>
      <c r="F786" s="1"/>
      <c r="G786" s="1"/>
      <c r="H786" s="1"/>
      <c r="I786" s="1"/>
    </row>
    <row r="787" spans="2:9" ht="14.4">
      <c r="B787" s="1"/>
      <c r="C787" s="1"/>
      <c r="D787" s="1"/>
      <c r="E787" s="1"/>
      <c r="F787" s="1"/>
      <c r="G787" s="1"/>
      <c r="H787" s="1"/>
      <c r="I787" s="1"/>
    </row>
    <row r="788" spans="2:9" ht="14.4">
      <c r="B788" s="1"/>
      <c r="C788" s="1"/>
      <c r="D788" s="1"/>
      <c r="E788" s="1"/>
      <c r="F788" s="1"/>
      <c r="G788" s="1"/>
      <c r="H788" s="1"/>
      <c r="I788" s="1"/>
    </row>
    <row r="789" spans="2:9" ht="14.4">
      <c r="B789" s="1"/>
      <c r="C789" s="1"/>
      <c r="D789" s="1"/>
      <c r="E789" s="1"/>
      <c r="F789" s="1"/>
      <c r="G789" s="1"/>
      <c r="H789" s="1"/>
      <c r="I789" s="1"/>
    </row>
    <row r="790" spans="2:9" ht="14.4">
      <c r="B790" s="1"/>
      <c r="C790" s="1"/>
      <c r="D790" s="1"/>
      <c r="E790" s="1"/>
      <c r="F790" s="1"/>
      <c r="G790" s="1"/>
      <c r="H790" s="1"/>
      <c r="I790" s="1"/>
    </row>
    <row r="791" spans="2:9" ht="14.4">
      <c r="B791" s="1"/>
      <c r="C791" s="1"/>
      <c r="D791" s="1"/>
      <c r="E791" s="1"/>
      <c r="F791" s="1"/>
      <c r="G791" s="1"/>
      <c r="H791" s="1"/>
      <c r="I791" s="1"/>
    </row>
    <row r="792" spans="2:9" ht="14.4">
      <c r="B792" s="1"/>
      <c r="C792" s="1"/>
      <c r="D792" s="1"/>
      <c r="E792" s="1"/>
      <c r="F792" s="1"/>
      <c r="G792" s="1"/>
      <c r="H792" s="1"/>
      <c r="I792" s="1"/>
    </row>
    <row r="793" spans="2:9" ht="14.4">
      <c r="B793" s="1"/>
      <c r="C793" s="1"/>
      <c r="D793" s="1"/>
      <c r="E793" s="1"/>
      <c r="F793" s="1"/>
      <c r="G793" s="1"/>
      <c r="H793" s="1"/>
      <c r="I793" s="1"/>
    </row>
    <row r="794" spans="2:9" ht="14.4">
      <c r="B794" s="1"/>
      <c r="C794" s="1"/>
      <c r="D794" s="1"/>
      <c r="E794" s="1"/>
      <c r="F794" s="1"/>
      <c r="G794" s="1"/>
      <c r="H794" s="1"/>
      <c r="I794" s="1"/>
    </row>
    <row r="795" spans="2:9" ht="14.4">
      <c r="B795" s="1"/>
      <c r="C795" s="1"/>
      <c r="D795" s="1"/>
      <c r="E795" s="1"/>
      <c r="F795" s="1"/>
      <c r="G795" s="1"/>
      <c r="H795" s="1"/>
      <c r="I795" s="1"/>
    </row>
    <row r="796" spans="2:9" ht="14.4">
      <c r="B796" s="1"/>
      <c r="C796" s="1"/>
      <c r="D796" s="1"/>
      <c r="E796" s="1"/>
      <c r="F796" s="1"/>
      <c r="G796" s="1"/>
      <c r="H796" s="1"/>
      <c r="I796" s="1"/>
    </row>
    <row r="797" spans="2:9" ht="14.4">
      <c r="B797" s="1"/>
      <c r="C797" s="1"/>
      <c r="D797" s="1"/>
      <c r="E797" s="1"/>
      <c r="F797" s="1"/>
      <c r="G797" s="1"/>
      <c r="H797" s="1"/>
      <c r="I797" s="1"/>
    </row>
    <row r="798" spans="2:9" ht="14.4">
      <c r="B798" s="1"/>
      <c r="C798" s="1"/>
      <c r="D798" s="1"/>
      <c r="E798" s="1"/>
      <c r="F798" s="1"/>
      <c r="G798" s="1"/>
      <c r="H798" s="1"/>
      <c r="I798" s="1"/>
    </row>
    <row r="799" spans="2:9" ht="14.4">
      <c r="B799" s="1"/>
      <c r="C799" s="1"/>
      <c r="D799" s="1"/>
      <c r="E799" s="1"/>
      <c r="F799" s="1"/>
      <c r="G799" s="1"/>
      <c r="H799" s="1"/>
      <c r="I799" s="1"/>
    </row>
    <row r="800" spans="2:9" ht="14.4">
      <c r="B800" s="1"/>
      <c r="C800" s="1"/>
      <c r="D800" s="1"/>
      <c r="E800" s="1"/>
      <c r="F800" s="1"/>
      <c r="G800" s="1"/>
      <c r="H800" s="1"/>
      <c r="I800" s="1"/>
    </row>
    <row r="801" spans="2:9" ht="14.4">
      <c r="B801" s="1"/>
      <c r="C801" s="1"/>
      <c r="D801" s="1"/>
      <c r="E801" s="1"/>
      <c r="F801" s="1"/>
      <c r="G801" s="1"/>
      <c r="H801" s="1"/>
      <c r="I801" s="1"/>
    </row>
    <row r="802" spans="2:9" ht="14.4">
      <c r="B802" s="1"/>
      <c r="C802" s="1"/>
      <c r="D802" s="1"/>
      <c r="E802" s="1"/>
      <c r="F802" s="1"/>
      <c r="G802" s="1"/>
      <c r="H802" s="1"/>
      <c r="I802" s="1"/>
    </row>
    <row r="803" spans="2:9" ht="14.4">
      <c r="B803" s="1"/>
      <c r="C803" s="1"/>
      <c r="D803" s="1"/>
      <c r="E803" s="1"/>
      <c r="F803" s="1"/>
      <c r="G803" s="1"/>
      <c r="H803" s="1"/>
      <c r="I803" s="1"/>
    </row>
    <row r="804" spans="2:9" ht="14.4">
      <c r="B804" s="1"/>
      <c r="C804" s="1"/>
      <c r="D804" s="1"/>
      <c r="E804" s="1"/>
      <c r="F804" s="1"/>
      <c r="G804" s="1"/>
      <c r="H804" s="1"/>
      <c r="I804" s="1"/>
    </row>
    <row r="805" spans="2:9" ht="14.4">
      <c r="B805" s="1"/>
      <c r="C805" s="1"/>
      <c r="D805" s="1"/>
      <c r="E805" s="1"/>
      <c r="F805" s="1"/>
      <c r="G805" s="1"/>
      <c r="H805" s="1"/>
      <c r="I805" s="1"/>
    </row>
    <row r="806" spans="2:9" ht="14.4">
      <c r="B806" s="1"/>
      <c r="C806" s="1"/>
      <c r="D806" s="1"/>
      <c r="E806" s="1"/>
      <c r="F806" s="1"/>
      <c r="G806" s="1"/>
      <c r="H806" s="1"/>
      <c r="I806" s="1"/>
    </row>
    <row r="807" spans="2:9" ht="14.4">
      <c r="B807" s="1"/>
      <c r="C807" s="1"/>
      <c r="D807" s="1"/>
      <c r="E807" s="1"/>
      <c r="F807" s="1"/>
      <c r="G807" s="1"/>
      <c r="H807" s="1"/>
      <c r="I807" s="1"/>
    </row>
    <row r="808" spans="2:9" ht="14.4">
      <c r="B808" s="1"/>
      <c r="C808" s="1"/>
      <c r="D808" s="1"/>
      <c r="E808" s="1"/>
      <c r="F808" s="1"/>
      <c r="G808" s="1"/>
      <c r="H808" s="1"/>
      <c r="I808" s="1"/>
    </row>
    <row r="809" spans="2:9" ht="14.4">
      <c r="B809" s="1"/>
      <c r="C809" s="1"/>
      <c r="D809" s="1"/>
      <c r="E809" s="1"/>
      <c r="F809" s="1"/>
      <c r="G809" s="1"/>
      <c r="H809" s="1"/>
      <c r="I809" s="1"/>
    </row>
    <row r="810" spans="2:9" ht="14.4">
      <c r="B810" s="1"/>
      <c r="C810" s="1"/>
      <c r="D810" s="1"/>
      <c r="E810" s="1"/>
      <c r="F810" s="1"/>
      <c r="G810" s="1"/>
      <c r="H810" s="1"/>
      <c r="I810" s="1"/>
    </row>
    <row r="811" spans="2:9" ht="14.4">
      <c r="B811" s="1"/>
      <c r="C811" s="1"/>
      <c r="D811" s="1"/>
      <c r="E811" s="1"/>
      <c r="F811" s="1"/>
      <c r="G811" s="1"/>
      <c r="H811" s="1"/>
      <c r="I811" s="1"/>
    </row>
    <row r="812" spans="2:9" ht="14.4">
      <c r="B812" s="1"/>
      <c r="C812" s="1"/>
      <c r="D812" s="1"/>
      <c r="E812" s="1"/>
      <c r="F812" s="1"/>
      <c r="G812" s="1"/>
      <c r="H812" s="1"/>
      <c r="I812" s="1"/>
    </row>
    <row r="813" spans="2:9" ht="14.4">
      <c r="B813" s="1"/>
      <c r="C813" s="1"/>
      <c r="D813" s="1"/>
      <c r="E813" s="1"/>
      <c r="F813" s="1"/>
      <c r="G813" s="1"/>
      <c r="H813" s="1"/>
      <c r="I813" s="1"/>
    </row>
    <row r="814" spans="2:9" ht="14.4">
      <c r="B814" s="1"/>
      <c r="C814" s="1"/>
      <c r="D814" s="1"/>
      <c r="E814" s="1"/>
      <c r="F814" s="1"/>
      <c r="G814" s="1"/>
      <c r="H814" s="1"/>
      <c r="I814" s="1"/>
    </row>
    <row r="815" spans="2:9" ht="14.4">
      <c r="B815" s="1"/>
      <c r="C815" s="1"/>
      <c r="D815" s="1"/>
      <c r="E815" s="1"/>
      <c r="F815" s="1"/>
      <c r="G815" s="1"/>
      <c r="H815" s="1"/>
      <c r="I815" s="1"/>
    </row>
    <row r="816" spans="2:9" ht="14.4">
      <c r="B816" s="1"/>
      <c r="C816" s="1"/>
      <c r="D816" s="1"/>
      <c r="E816" s="1"/>
      <c r="F816" s="1"/>
      <c r="G816" s="1"/>
      <c r="H816" s="1"/>
      <c r="I816" s="1"/>
    </row>
    <row r="817" spans="2:9" ht="14.4">
      <c r="B817" s="1"/>
      <c r="C817" s="1"/>
      <c r="D817" s="1"/>
      <c r="E817" s="1"/>
      <c r="F817" s="1"/>
      <c r="G817" s="1"/>
      <c r="H817" s="1"/>
      <c r="I817" s="1"/>
    </row>
    <row r="818" spans="2:9" ht="14.4">
      <c r="B818" s="1"/>
      <c r="C818" s="1"/>
      <c r="D818" s="1"/>
      <c r="E818" s="1"/>
      <c r="F818" s="1"/>
      <c r="G818" s="1"/>
      <c r="H818" s="1"/>
      <c r="I818" s="1"/>
    </row>
    <row r="819" spans="2:9" ht="14.4">
      <c r="B819" s="1"/>
      <c r="C819" s="1"/>
      <c r="D819" s="1"/>
      <c r="E819" s="1"/>
      <c r="F819" s="1"/>
      <c r="G819" s="1"/>
      <c r="H819" s="1"/>
      <c r="I819" s="1"/>
    </row>
    <row r="820" spans="2:9" ht="14.4">
      <c r="B820" s="1"/>
      <c r="C820" s="1"/>
      <c r="D820" s="1"/>
      <c r="E820" s="1"/>
      <c r="F820" s="1"/>
      <c r="G820" s="1"/>
      <c r="H820" s="1"/>
      <c r="I820" s="1"/>
    </row>
    <row r="821" spans="2:9" ht="14.4">
      <c r="B821" s="1"/>
      <c r="C821" s="1"/>
      <c r="D821" s="1"/>
      <c r="E821" s="1"/>
      <c r="F821" s="1"/>
      <c r="G821" s="1"/>
      <c r="H821" s="1"/>
      <c r="I821" s="1"/>
    </row>
    <row r="822" spans="2:9" ht="14.4">
      <c r="B822" s="1"/>
      <c r="C822" s="1"/>
      <c r="D822" s="1"/>
      <c r="E822" s="1"/>
      <c r="F822" s="1"/>
      <c r="G822" s="1"/>
      <c r="H822" s="1"/>
      <c r="I822" s="1"/>
    </row>
    <row r="823" spans="2:9" ht="14.4">
      <c r="B823" s="1"/>
      <c r="C823" s="1"/>
      <c r="D823" s="1"/>
      <c r="E823" s="1"/>
      <c r="F823" s="1"/>
      <c r="G823" s="1"/>
      <c r="H823" s="1"/>
      <c r="I823" s="1"/>
    </row>
    <row r="824" spans="2:9" ht="14.4">
      <c r="B824" s="1"/>
      <c r="C824" s="1"/>
      <c r="D824" s="1"/>
      <c r="E824" s="1"/>
      <c r="F824" s="1"/>
      <c r="G824" s="1"/>
      <c r="H824" s="1"/>
      <c r="I824" s="1"/>
    </row>
    <row r="825" spans="2:9" ht="14.4">
      <c r="B825" s="1"/>
      <c r="C825" s="1"/>
      <c r="D825" s="1"/>
      <c r="E825" s="1"/>
      <c r="F825" s="1"/>
      <c r="G825" s="1"/>
      <c r="H825" s="1"/>
      <c r="I825" s="1"/>
    </row>
    <row r="826" spans="2:9" ht="14.4">
      <c r="B826" s="1"/>
      <c r="C826" s="1"/>
      <c r="D826" s="1"/>
      <c r="E826" s="1"/>
      <c r="F826" s="1"/>
      <c r="G826" s="1"/>
      <c r="H826" s="1"/>
      <c r="I826" s="1"/>
    </row>
    <row r="827" spans="2:9" ht="14.4">
      <c r="B827" s="1"/>
      <c r="C827" s="1"/>
      <c r="D827" s="1"/>
      <c r="E827" s="1"/>
      <c r="F827" s="1"/>
      <c r="G827" s="1"/>
      <c r="H827" s="1"/>
      <c r="I827" s="1"/>
    </row>
    <row r="828" spans="2:9" ht="14.4">
      <c r="B828" s="1"/>
      <c r="C828" s="1"/>
      <c r="D828" s="1"/>
      <c r="E828" s="1"/>
      <c r="F828" s="1"/>
      <c r="G828" s="1"/>
      <c r="H828" s="1"/>
      <c r="I828" s="1"/>
    </row>
    <row r="829" spans="2:9" ht="14.4">
      <c r="B829" s="1"/>
      <c r="C829" s="1"/>
      <c r="D829" s="1"/>
      <c r="E829" s="1"/>
      <c r="F829" s="1"/>
      <c r="G829" s="1"/>
      <c r="H829" s="1"/>
      <c r="I829" s="1"/>
    </row>
    <row r="830" spans="2:9" ht="14.4">
      <c r="B830" s="1"/>
      <c r="C830" s="1"/>
      <c r="D830" s="1"/>
      <c r="E830" s="1"/>
      <c r="F830" s="1"/>
      <c r="G830" s="1"/>
      <c r="H830" s="1"/>
      <c r="I830" s="1"/>
    </row>
    <row r="831" spans="2:9" ht="14.4">
      <c r="B831" s="1"/>
      <c r="C831" s="1"/>
      <c r="D831" s="1"/>
      <c r="E831" s="1"/>
      <c r="F831" s="1"/>
      <c r="G831" s="1"/>
      <c r="H831" s="1"/>
      <c r="I831" s="1"/>
    </row>
    <row r="832" spans="2:9" ht="14.4">
      <c r="B832" s="1"/>
      <c r="C832" s="1"/>
      <c r="D832" s="1"/>
      <c r="E832" s="1"/>
      <c r="F832" s="1"/>
      <c r="G832" s="1"/>
      <c r="H832" s="1"/>
      <c r="I832" s="1"/>
    </row>
    <row r="833" spans="2:9" ht="14.4">
      <c r="B833" s="1"/>
      <c r="C833" s="1"/>
      <c r="D833" s="1"/>
      <c r="E833" s="1"/>
      <c r="F833" s="1"/>
      <c r="G833" s="1"/>
      <c r="H833" s="1"/>
      <c r="I833" s="1"/>
    </row>
    <row r="834" spans="2:9" ht="14.4">
      <c r="B834" s="1"/>
      <c r="C834" s="1"/>
      <c r="D834" s="1"/>
      <c r="E834" s="1"/>
      <c r="F834" s="1"/>
      <c r="G834" s="1"/>
      <c r="H834" s="1"/>
      <c r="I834" s="1"/>
    </row>
    <row r="835" spans="2:9" ht="14.4">
      <c r="B835" s="1"/>
      <c r="C835" s="1"/>
      <c r="D835" s="1"/>
      <c r="E835" s="1"/>
      <c r="F835" s="1"/>
      <c r="G835" s="1"/>
      <c r="H835" s="1"/>
      <c r="I835" s="1"/>
    </row>
    <row r="836" spans="2:9" ht="14.4">
      <c r="B836" s="1"/>
      <c r="C836" s="1"/>
      <c r="D836" s="1"/>
      <c r="E836" s="1"/>
      <c r="F836" s="1"/>
      <c r="G836" s="1"/>
      <c r="H836" s="1"/>
      <c r="I836" s="1"/>
    </row>
    <row r="837" spans="2:9" ht="14.4">
      <c r="B837" s="1"/>
      <c r="C837" s="1"/>
      <c r="D837" s="1"/>
      <c r="E837" s="1"/>
      <c r="F837" s="1"/>
      <c r="G837" s="1"/>
      <c r="H837" s="1"/>
      <c r="I837" s="1"/>
    </row>
    <row r="838" spans="2:9" ht="14.4">
      <c r="B838" s="1"/>
      <c r="C838" s="1"/>
      <c r="D838" s="1"/>
      <c r="E838" s="1"/>
      <c r="F838" s="1"/>
      <c r="G838" s="1"/>
      <c r="H838" s="1"/>
      <c r="I838" s="1"/>
    </row>
    <row r="839" spans="2:9" ht="14.4">
      <c r="B839" s="1"/>
      <c r="C839" s="1"/>
      <c r="D839" s="1"/>
      <c r="E839" s="1"/>
      <c r="F839" s="1"/>
      <c r="G839" s="1"/>
      <c r="H839" s="1"/>
      <c r="I839" s="1"/>
    </row>
    <row r="840" spans="2:9" ht="14.4">
      <c r="B840" s="1"/>
      <c r="C840" s="1"/>
      <c r="D840" s="1"/>
      <c r="E840" s="1"/>
      <c r="F840" s="1"/>
      <c r="G840" s="1"/>
      <c r="H840" s="1"/>
      <c r="I840" s="1"/>
    </row>
    <row r="841" spans="2:9" ht="14.4">
      <c r="B841" s="1"/>
      <c r="C841" s="1"/>
      <c r="D841" s="1"/>
      <c r="E841" s="1"/>
      <c r="F841" s="1"/>
      <c r="G841" s="1"/>
      <c r="H841" s="1"/>
      <c r="I841" s="1"/>
    </row>
    <row r="842" spans="2:9" ht="14.4">
      <c r="B842" s="1"/>
      <c r="C842" s="1"/>
      <c r="D842" s="1"/>
      <c r="E842" s="1"/>
      <c r="F842" s="1"/>
      <c r="G842" s="1"/>
      <c r="H842" s="1"/>
      <c r="I842" s="1"/>
    </row>
    <row r="843" spans="2:9" ht="14.4">
      <c r="B843" s="1"/>
      <c r="C843" s="1"/>
      <c r="D843" s="1"/>
      <c r="E843" s="1"/>
      <c r="F843" s="1"/>
      <c r="G843" s="1"/>
      <c r="H843" s="1"/>
      <c r="I843" s="1"/>
    </row>
    <row r="844" spans="2:9" ht="14.4">
      <c r="B844" s="1"/>
      <c r="C844" s="1"/>
      <c r="D844" s="1"/>
      <c r="E844" s="1"/>
      <c r="F844" s="1"/>
      <c r="G844" s="1"/>
      <c r="H844" s="1"/>
      <c r="I844" s="1"/>
    </row>
    <row r="845" spans="2:9" ht="14.4">
      <c r="B845" s="1"/>
      <c r="C845" s="1"/>
      <c r="D845" s="1"/>
      <c r="E845" s="1"/>
      <c r="F845" s="1"/>
      <c r="G845" s="1"/>
      <c r="H845" s="1"/>
      <c r="I845" s="1"/>
    </row>
    <row r="846" spans="2:9" ht="14.4">
      <c r="B846" s="1"/>
      <c r="C846" s="1"/>
      <c r="D846" s="1"/>
      <c r="E846" s="1"/>
      <c r="F846" s="1"/>
      <c r="G846" s="1"/>
      <c r="H846" s="1"/>
      <c r="I846" s="1"/>
    </row>
    <row r="847" spans="2:9" ht="14.4">
      <c r="B847" s="1"/>
      <c r="C847" s="1"/>
      <c r="D847" s="1"/>
      <c r="E847" s="1"/>
      <c r="F847" s="1"/>
      <c r="G847" s="1"/>
      <c r="H847" s="1"/>
      <c r="I847" s="1"/>
    </row>
    <row r="848" spans="2:9" ht="14.4">
      <c r="B848" s="1"/>
      <c r="C848" s="1"/>
      <c r="D848" s="1"/>
      <c r="E848" s="1"/>
      <c r="F848" s="1"/>
      <c r="G848" s="1"/>
      <c r="H848" s="1"/>
      <c r="I848" s="1"/>
    </row>
    <row r="849" spans="2:9" ht="14.4">
      <c r="B849" s="1"/>
      <c r="C849" s="1"/>
      <c r="D849" s="1"/>
      <c r="E849" s="1"/>
      <c r="F849" s="1"/>
      <c r="G849" s="1"/>
      <c r="H849" s="1"/>
      <c r="I849" s="1"/>
    </row>
    <row r="850" spans="2:9" ht="14.4">
      <c r="B850" s="1"/>
      <c r="C850" s="1"/>
      <c r="D850" s="1"/>
      <c r="E850" s="1"/>
      <c r="F850" s="1"/>
      <c r="G850" s="1"/>
      <c r="H850" s="1"/>
      <c r="I850" s="1"/>
    </row>
    <row r="851" spans="2:9" ht="14.4">
      <c r="B851" s="1"/>
      <c r="C851" s="1"/>
      <c r="D851" s="1"/>
      <c r="E851" s="1"/>
      <c r="F851" s="1"/>
      <c r="G851" s="1"/>
      <c r="H851" s="1"/>
      <c r="I851" s="1"/>
    </row>
    <row r="852" spans="2:9" ht="14.4">
      <c r="B852" s="1"/>
      <c r="C852" s="1"/>
      <c r="D852" s="1"/>
      <c r="E852" s="1"/>
      <c r="F852" s="1"/>
      <c r="G852" s="1"/>
      <c r="H852" s="1"/>
      <c r="I852" s="1"/>
    </row>
    <row r="853" spans="2:9" ht="14.4">
      <c r="B853" s="1"/>
      <c r="C853" s="1"/>
      <c r="D853" s="1"/>
      <c r="E853" s="1"/>
      <c r="F853" s="1"/>
      <c r="G853" s="1"/>
      <c r="H853" s="1"/>
      <c r="I853" s="1"/>
    </row>
    <row r="854" spans="2:9" ht="14.4">
      <c r="B854" s="1"/>
      <c r="C854" s="1"/>
      <c r="D854" s="1"/>
      <c r="E854" s="1"/>
      <c r="F854" s="1"/>
      <c r="G854" s="1"/>
      <c r="H854" s="1"/>
      <c r="I854" s="1"/>
    </row>
    <row r="855" spans="2:9" ht="14.4">
      <c r="B855" s="1"/>
      <c r="C855" s="1"/>
      <c r="D855" s="1"/>
      <c r="E855" s="1"/>
      <c r="F855" s="1"/>
      <c r="G855" s="1"/>
      <c r="H855" s="1"/>
      <c r="I855" s="1"/>
    </row>
    <row r="856" spans="2:9" ht="14.4">
      <c r="B856" s="1"/>
      <c r="C856" s="1"/>
      <c r="D856" s="1"/>
      <c r="E856" s="1"/>
      <c r="F856" s="1"/>
      <c r="G856" s="1"/>
      <c r="H856" s="1"/>
      <c r="I856" s="1"/>
    </row>
    <row r="857" spans="2:9" ht="14.4">
      <c r="B857" s="1"/>
      <c r="C857" s="1"/>
      <c r="D857" s="1"/>
      <c r="E857" s="1"/>
      <c r="F857" s="1"/>
      <c r="G857" s="1"/>
      <c r="H857" s="1"/>
      <c r="I857" s="1"/>
    </row>
    <row r="858" spans="2:9" ht="14.4">
      <c r="B858" s="1"/>
      <c r="C858" s="1"/>
      <c r="D858" s="1"/>
      <c r="E858" s="1"/>
      <c r="F858" s="1"/>
      <c r="G858" s="1"/>
      <c r="H858" s="1"/>
      <c r="I858" s="1"/>
    </row>
    <row r="859" spans="2:9" ht="14.4">
      <c r="B859" s="1"/>
      <c r="C859" s="1"/>
      <c r="D859" s="1"/>
      <c r="E859" s="1"/>
      <c r="F859" s="1"/>
      <c r="G859" s="1"/>
      <c r="H859" s="1"/>
      <c r="I859" s="1"/>
    </row>
    <row r="860" spans="2:9" ht="14.4">
      <c r="B860" s="1"/>
      <c r="C860" s="1"/>
      <c r="D860" s="1"/>
      <c r="E860" s="1"/>
      <c r="F860" s="1"/>
      <c r="G860" s="1"/>
      <c r="H860" s="1"/>
      <c r="I860" s="1"/>
    </row>
    <row r="861" spans="2:9" ht="14.4">
      <c r="B861" s="1"/>
      <c r="C861" s="1"/>
      <c r="D861" s="1"/>
      <c r="E861" s="1"/>
      <c r="F861" s="1"/>
      <c r="G861" s="1"/>
      <c r="H861" s="1"/>
      <c r="I861" s="1"/>
    </row>
    <row r="862" spans="2:9" ht="14.4">
      <c r="B862" s="1"/>
      <c r="C862" s="1"/>
      <c r="D862" s="1"/>
      <c r="E862" s="1"/>
      <c r="F862" s="1"/>
      <c r="G862" s="1"/>
      <c r="H862" s="1"/>
      <c r="I862" s="1"/>
    </row>
    <row r="863" spans="2:9" ht="14.4">
      <c r="B863" s="1"/>
      <c r="C863" s="1"/>
      <c r="D863" s="1"/>
      <c r="E863" s="1"/>
      <c r="F863" s="1"/>
      <c r="G863" s="1"/>
      <c r="H863" s="1"/>
      <c r="I863" s="1"/>
    </row>
    <row r="864" spans="2:9" ht="14.4">
      <c r="B864" s="1"/>
      <c r="C864" s="1"/>
      <c r="D864" s="1"/>
      <c r="E864" s="1"/>
      <c r="F864" s="1"/>
      <c r="G864" s="1"/>
      <c r="H864" s="1"/>
      <c r="I864" s="1"/>
    </row>
    <row r="865" spans="2:9" ht="14.4">
      <c r="B865" s="1"/>
      <c r="C865" s="1"/>
      <c r="D865" s="1"/>
      <c r="E865" s="1"/>
      <c r="F865" s="1"/>
      <c r="G865" s="1"/>
      <c r="H865" s="1"/>
      <c r="I865" s="1"/>
    </row>
    <row r="866" spans="2:9" ht="14.4">
      <c r="B866" s="1"/>
      <c r="C866" s="1"/>
      <c r="D866" s="1"/>
      <c r="E866" s="1"/>
      <c r="F866" s="1"/>
      <c r="G866" s="1"/>
      <c r="H866" s="1"/>
      <c r="I866" s="1"/>
    </row>
    <row r="867" spans="2:9" ht="14.4">
      <c r="B867" s="1"/>
      <c r="C867" s="1"/>
      <c r="D867" s="1"/>
      <c r="E867" s="1"/>
      <c r="F867" s="1"/>
      <c r="G867" s="1"/>
      <c r="H867" s="1"/>
      <c r="I867" s="1"/>
    </row>
    <row r="868" spans="2:9" ht="14.4">
      <c r="B868" s="1"/>
      <c r="C868" s="1"/>
      <c r="D868" s="1"/>
      <c r="E868" s="1"/>
      <c r="F868" s="1"/>
      <c r="G868" s="1"/>
      <c r="H868" s="1"/>
      <c r="I868" s="1"/>
    </row>
    <row r="869" spans="2:9" ht="14.4">
      <c r="B869" s="1"/>
      <c r="C869" s="1"/>
      <c r="D869" s="1"/>
      <c r="E869" s="1"/>
      <c r="F869" s="1"/>
      <c r="G869" s="1"/>
      <c r="H869" s="1"/>
      <c r="I869" s="1"/>
    </row>
    <row r="870" spans="2:9" ht="14.4">
      <c r="B870" s="1"/>
      <c r="C870" s="1"/>
      <c r="D870" s="1"/>
      <c r="E870" s="1"/>
      <c r="F870" s="1"/>
      <c r="G870" s="1"/>
      <c r="H870" s="1"/>
      <c r="I870" s="1"/>
    </row>
    <row r="871" spans="2:9" ht="14.4">
      <c r="B871" s="1"/>
      <c r="C871" s="1"/>
      <c r="D871" s="1"/>
      <c r="E871" s="1"/>
      <c r="F871" s="1"/>
      <c r="G871" s="1"/>
      <c r="H871" s="1"/>
      <c r="I871" s="1"/>
    </row>
    <row r="872" spans="2:9" ht="14.4">
      <c r="B872" s="1"/>
      <c r="C872" s="1"/>
      <c r="D872" s="1"/>
      <c r="E872" s="1"/>
      <c r="F872" s="1"/>
      <c r="G872" s="1"/>
      <c r="H872" s="1"/>
      <c r="I872" s="1"/>
    </row>
    <row r="873" spans="2:9" ht="14.4">
      <c r="B873" s="1"/>
      <c r="C873" s="1"/>
      <c r="D873" s="1"/>
      <c r="E873" s="1"/>
      <c r="F873" s="1"/>
      <c r="G873" s="1"/>
      <c r="H873" s="1"/>
      <c r="I873" s="1"/>
    </row>
    <row r="874" spans="2:9" ht="14.4">
      <c r="B874" s="1"/>
      <c r="C874" s="1"/>
      <c r="D874" s="1"/>
      <c r="E874" s="1"/>
      <c r="F874" s="1"/>
      <c r="G874" s="1"/>
      <c r="H874" s="1"/>
      <c r="I874" s="1"/>
    </row>
    <row r="875" spans="2:9" ht="14.4">
      <c r="B875" s="1"/>
      <c r="C875" s="1"/>
      <c r="D875" s="1"/>
      <c r="E875" s="1"/>
      <c r="F875" s="1"/>
      <c r="G875" s="1"/>
      <c r="H875" s="1"/>
      <c r="I875" s="1"/>
    </row>
    <row r="876" spans="2:9" ht="14.4">
      <c r="B876" s="1"/>
      <c r="C876" s="1"/>
      <c r="D876" s="1"/>
      <c r="E876" s="1"/>
      <c r="F876" s="1"/>
      <c r="G876" s="1"/>
      <c r="H876" s="1"/>
      <c r="I876" s="1"/>
    </row>
    <row r="877" spans="2:9" ht="14.4">
      <c r="B877" s="1"/>
      <c r="C877" s="1"/>
      <c r="D877" s="1"/>
      <c r="E877" s="1"/>
      <c r="F877" s="1"/>
      <c r="G877" s="1"/>
      <c r="H877" s="1"/>
      <c r="I877" s="1"/>
    </row>
    <row r="878" spans="2:9" ht="14.4">
      <c r="B878" s="1"/>
      <c r="C878" s="1"/>
      <c r="D878" s="1"/>
      <c r="E878" s="1"/>
      <c r="F878" s="1"/>
      <c r="G878" s="1"/>
      <c r="H878" s="1"/>
      <c r="I878" s="1"/>
    </row>
    <row r="879" spans="2:9" ht="14.4">
      <c r="B879" s="1"/>
      <c r="C879" s="1"/>
      <c r="D879" s="1"/>
      <c r="E879" s="1"/>
      <c r="F879" s="1"/>
      <c r="G879" s="1"/>
      <c r="H879" s="1"/>
      <c r="I879" s="1"/>
    </row>
    <row r="880" spans="2:9" ht="14.4">
      <c r="B880" s="1"/>
      <c r="C880" s="1"/>
      <c r="D880" s="1"/>
      <c r="E880" s="1"/>
      <c r="F880" s="1"/>
      <c r="G880" s="1"/>
      <c r="H880" s="1"/>
      <c r="I880" s="1"/>
    </row>
    <row r="881" spans="2:9" ht="14.4">
      <c r="B881" s="1"/>
      <c r="C881" s="1"/>
      <c r="D881" s="1"/>
      <c r="E881" s="1"/>
      <c r="F881" s="1"/>
      <c r="G881" s="1"/>
      <c r="H881" s="1"/>
      <c r="I881" s="1"/>
    </row>
    <row r="882" spans="2:9" ht="14.4">
      <c r="B882" s="1"/>
      <c r="C882" s="1"/>
      <c r="D882" s="1"/>
      <c r="E882" s="1"/>
      <c r="F882" s="1"/>
      <c r="G882" s="1"/>
      <c r="H882" s="1"/>
      <c r="I882" s="1"/>
    </row>
    <row r="883" spans="2:9" ht="14.4">
      <c r="B883" s="1"/>
      <c r="C883" s="1"/>
      <c r="D883" s="1"/>
      <c r="E883" s="1"/>
      <c r="F883" s="1"/>
      <c r="G883" s="1"/>
      <c r="H883" s="1"/>
      <c r="I883" s="1"/>
    </row>
    <row r="884" spans="2:9" ht="14.4">
      <c r="B884" s="1"/>
      <c r="C884" s="1"/>
      <c r="D884" s="1"/>
      <c r="E884" s="1"/>
      <c r="F884" s="1"/>
      <c r="G884" s="1"/>
      <c r="H884" s="1"/>
      <c r="I884" s="1"/>
    </row>
    <row r="885" spans="2:9" ht="14.4">
      <c r="B885" s="1"/>
      <c r="C885" s="1"/>
      <c r="D885" s="1"/>
      <c r="E885" s="1"/>
      <c r="F885" s="1"/>
      <c r="G885" s="1"/>
      <c r="H885" s="1"/>
      <c r="I885" s="1"/>
    </row>
    <row r="886" spans="2:9" ht="14.4">
      <c r="B886" s="1"/>
      <c r="C886" s="1"/>
      <c r="D886" s="1"/>
      <c r="E886" s="1"/>
      <c r="F886" s="1"/>
      <c r="G886" s="1"/>
      <c r="H886" s="1"/>
      <c r="I886" s="1"/>
    </row>
    <row r="887" spans="2:9" ht="14.4">
      <c r="B887" s="1"/>
      <c r="C887" s="1"/>
      <c r="D887" s="1"/>
      <c r="E887" s="1"/>
      <c r="F887" s="1"/>
      <c r="G887" s="1"/>
      <c r="H887" s="1"/>
      <c r="I887" s="1"/>
    </row>
    <row r="888" spans="2:9" ht="14.4">
      <c r="B888" s="1"/>
      <c r="C888" s="1"/>
      <c r="D888" s="1"/>
      <c r="E888" s="1"/>
      <c r="F888" s="1"/>
      <c r="G888" s="1"/>
      <c r="H888" s="1"/>
      <c r="I888" s="1"/>
    </row>
    <row r="889" spans="2:9" ht="14.4">
      <c r="B889" s="1"/>
      <c r="C889" s="1"/>
      <c r="D889" s="1"/>
      <c r="E889" s="1"/>
      <c r="F889" s="1"/>
      <c r="G889" s="1"/>
      <c r="H889" s="1"/>
      <c r="I889" s="1"/>
    </row>
    <row r="890" spans="2:9" ht="14.4">
      <c r="B890" s="1"/>
      <c r="C890" s="1"/>
      <c r="D890" s="1"/>
      <c r="E890" s="1"/>
      <c r="F890" s="1"/>
      <c r="G890" s="1"/>
      <c r="H890" s="1"/>
      <c r="I890" s="1"/>
    </row>
    <row r="891" spans="2:9" ht="14.4">
      <c r="B891" s="1"/>
      <c r="C891" s="1"/>
      <c r="D891" s="1"/>
      <c r="E891" s="1"/>
      <c r="F891" s="1"/>
      <c r="G891" s="1"/>
      <c r="H891" s="1"/>
      <c r="I891" s="1"/>
    </row>
    <row r="892" spans="2:9" ht="14.4">
      <c r="B892" s="1"/>
      <c r="C892" s="1"/>
      <c r="D892" s="1"/>
      <c r="E892" s="1"/>
      <c r="F892" s="1"/>
      <c r="G892" s="1"/>
      <c r="H892" s="1"/>
      <c r="I892" s="1"/>
    </row>
    <row r="893" spans="2:9" ht="14.4">
      <c r="B893" s="1"/>
      <c r="C893" s="1"/>
      <c r="D893" s="1"/>
      <c r="E893" s="1"/>
      <c r="F893" s="1"/>
      <c r="G893" s="1"/>
      <c r="H893" s="1"/>
      <c r="I893" s="1"/>
    </row>
    <row r="894" spans="2:9" ht="14.4">
      <c r="B894" s="1"/>
      <c r="C894" s="1"/>
      <c r="D894" s="1"/>
      <c r="E894" s="1"/>
      <c r="F894" s="1"/>
      <c r="G894" s="1"/>
      <c r="H894" s="1"/>
      <c r="I894" s="1"/>
    </row>
    <row r="895" spans="2:9" ht="14.4">
      <c r="B895" s="1"/>
      <c r="C895" s="1"/>
      <c r="D895" s="1"/>
      <c r="E895" s="1"/>
      <c r="F895" s="1"/>
      <c r="G895" s="1"/>
      <c r="H895" s="1"/>
      <c r="I895" s="1"/>
    </row>
    <row r="896" spans="2:9" ht="14.4">
      <c r="B896" s="1"/>
      <c r="C896" s="1"/>
      <c r="D896" s="1"/>
      <c r="E896" s="1"/>
      <c r="F896" s="1"/>
      <c r="G896" s="1"/>
      <c r="H896" s="1"/>
      <c r="I896" s="1"/>
    </row>
    <row r="897" spans="2:9" ht="14.4">
      <c r="B897" s="1"/>
      <c r="C897" s="1"/>
      <c r="D897" s="1"/>
      <c r="E897" s="1"/>
      <c r="F897" s="1"/>
      <c r="G897" s="1"/>
      <c r="H897" s="1"/>
      <c r="I897" s="1"/>
    </row>
    <row r="898" spans="2:9" ht="14.4">
      <c r="B898" s="1"/>
      <c r="C898" s="1"/>
      <c r="D898" s="1"/>
      <c r="E898" s="1"/>
      <c r="F898" s="1"/>
      <c r="G898" s="1"/>
      <c r="H898" s="1"/>
      <c r="I898" s="1"/>
    </row>
    <row r="899" spans="2:9" ht="14.4">
      <c r="B899" s="1"/>
      <c r="C899" s="1"/>
      <c r="D899" s="1"/>
      <c r="E899" s="1"/>
      <c r="F899" s="1"/>
      <c r="G899" s="1"/>
      <c r="H899" s="1"/>
      <c r="I899" s="1"/>
    </row>
    <row r="900" spans="2:9" ht="14.4">
      <c r="B900" s="1"/>
      <c r="C900" s="1"/>
      <c r="D900" s="1"/>
      <c r="E900" s="1"/>
      <c r="F900" s="1"/>
      <c r="G900" s="1"/>
      <c r="H900" s="1"/>
      <c r="I900" s="1"/>
    </row>
    <row r="901" spans="2:9" ht="14.4">
      <c r="B901" s="1"/>
      <c r="C901" s="1"/>
      <c r="D901" s="1"/>
      <c r="E901" s="1"/>
      <c r="F901" s="1"/>
      <c r="G901" s="1"/>
      <c r="H901" s="1"/>
      <c r="I901" s="1"/>
    </row>
    <row r="902" spans="2:9" ht="14.4">
      <c r="B902" s="1"/>
      <c r="C902" s="1"/>
      <c r="D902" s="1"/>
      <c r="E902" s="1"/>
      <c r="F902" s="1"/>
      <c r="G902" s="1"/>
      <c r="H902" s="1"/>
      <c r="I902" s="1"/>
    </row>
    <row r="903" spans="2:9" ht="14.4">
      <c r="B903" s="1"/>
      <c r="C903" s="1"/>
      <c r="D903" s="1"/>
      <c r="E903" s="1"/>
      <c r="F903" s="1"/>
      <c r="G903" s="1"/>
      <c r="H903" s="1"/>
      <c r="I903" s="1"/>
    </row>
    <row r="904" spans="2:9" ht="14.4">
      <c r="B904" s="1"/>
      <c r="C904" s="1"/>
      <c r="D904" s="1"/>
      <c r="E904" s="1"/>
      <c r="F904" s="1"/>
      <c r="G904" s="1"/>
      <c r="H904" s="1"/>
      <c r="I904" s="1"/>
    </row>
    <row r="905" spans="2:9" ht="14.4">
      <c r="B905" s="1"/>
      <c r="C905" s="1"/>
      <c r="D905" s="1"/>
      <c r="E905" s="1"/>
      <c r="F905" s="1"/>
      <c r="G905" s="1"/>
      <c r="H905" s="1"/>
      <c r="I905" s="1"/>
    </row>
    <row r="906" spans="2:9" ht="14.4">
      <c r="B906" s="1"/>
      <c r="C906" s="1"/>
      <c r="D906" s="1"/>
      <c r="E906" s="1"/>
      <c r="F906" s="1"/>
      <c r="G906" s="1"/>
      <c r="H906" s="1"/>
      <c r="I906" s="1"/>
    </row>
    <row r="907" spans="2:9" ht="14.4">
      <c r="B907" s="1"/>
      <c r="C907" s="1"/>
      <c r="D907" s="1"/>
      <c r="E907" s="1"/>
      <c r="F907" s="1"/>
      <c r="G907" s="1"/>
      <c r="H907" s="1"/>
      <c r="I907" s="1"/>
    </row>
    <row r="908" spans="2:9" ht="14.4">
      <c r="B908" s="1"/>
      <c r="C908" s="1"/>
      <c r="D908" s="1"/>
      <c r="E908" s="1"/>
      <c r="F908" s="1"/>
      <c r="G908" s="1"/>
      <c r="H908" s="1"/>
      <c r="I908" s="1"/>
    </row>
    <row r="909" spans="2:9" ht="14.4">
      <c r="B909" s="1"/>
      <c r="C909" s="1"/>
      <c r="D909" s="1"/>
      <c r="E909" s="1"/>
      <c r="F909" s="1"/>
      <c r="G909" s="1"/>
      <c r="H909" s="1"/>
      <c r="I909" s="1"/>
    </row>
    <row r="910" spans="2:9" ht="14.4">
      <c r="B910" s="1"/>
      <c r="C910" s="1"/>
      <c r="D910" s="1"/>
      <c r="E910" s="1"/>
      <c r="F910" s="1"/>
      <c r="G910" s="1"/>
      <c r="H910" s="1"/>
      <c r="I910" s="1"/>
    </row>
    <row r="911" spans="2:9" ht="14.4">
      <c r="B911" s="1"/>
      <c r="C911" s="1"/>
      <c r="D911" s="1"/>
      <c r="E911" s="1"/>
      <c r="F911" s="1"/>
      <c r="G911" s="1"/>
      <c r="H911" s="1"/>
      <c r="I911" s="1"/>
    </row>
    <row r="912" spans="2:9" ht="14.4">
      <c r="B912" s="1"/>
      <c r="C912" s="1"/>
      <c r="D912" s="1"/>
      <c r="E912" s="1"/>
      <c r="F912" s="1"/>
      <c r="G912" s="1"/>
      <c r="H912" s="1"/>
      <c r="I912" s="1"/>
    </row>
    <row r="913" spans="2:9" ht="14.4">
      <c r="B913" s="1"/>
      <c r="C913" s="1"/>
      <c r="D913" s="1"/>
      <c r="E913" s="1"/>
      <c r="F913" s="1"/>
      <c r="G913" s="1"/>
      <c r="H913" s="1"/>
      <c r="I913" s="1"/>
    </row>
    <row r="914" spans="2:9" ht="14.4">
      <c r="B914" s="1"/>
      <c r="C914" s="1"/>
      <c r="D914" s="1"/>
      <c r="E914" s="1"/>
      <c r="F914" s="1"/>
      <c r="G914" s="1"/>
      <c r="H914" s="1"/>
      <c r="I914" s="1"/>
    </row>
    <row r="915" spans="2:9" ht="14.4">
      <c r="B915" s="1"/>
      <c r="C915" s="1"/>
      <c r="D915" s="1"/>
      <c r="E915" s="1"/>
      <c r="F915" s="1"/>
      <c r="G915" s="1"/>
      <c r="H915" s="1"/>
      <c r="I915" s="1"/>
    </row>
    <row r="916" spans="2:9" ht="14.4">
      <c r="B916" s="1"/>
      <c r="C916" s="1"/>
      <c r="D916" s="1"/>
      <c r="E916" s="1"/>
      <c r="F916" s="1"/>
      <c r="G916" s="1"/>
      <c r="H916" s="1"/>
      <c r="I916" s="1"/>
    </row>
    <row r="917" spans="2:9" ht="14.4">
      <c r="B917" s="1"/>
      <c r="C917" s="1"/>
      <c r="D917" s="1"/>
      <c r="E917" s="1"/>
      <c r="F917" s="1"/>
      <c r="G917" s="1"/>
      <c r="H917" s="1"/>
      <c r="I917" s="1"/>
    </row>
    <row r="918" spans="2:9" ht="14.4">
      <c r="B918" s="1"/>
      <c r="C918" s="1"/>
      <c r="D918" s="1"/>
      <c r="E918" s="1"/>
      <c r="F918" s="1"/>
      <c r="G918" s="1"/>
      <c r="H918" s="1"/>
      <c r="I918" s="1"/>
    </row>
    <row r="919" spans="2:9" ht="14.4">
      <c r="B919" s="1"/>
      <c r="C919" s="1"/>
      <c r="D919" s="1"/>
      <c r="E919" s="1"/>
      <c r="F919" s="1"/>
      <c r="G919" s="1"/>
      <c r="H919" s="1"/>
      <c r="I919" s="1"/>
    </row>
    <row r="920" spans="2:9" ht="14.4">
      <c r="B920" s="1"/>
      <c r="C920" s="1"/>
      <c r="D920" s="1"/>
      <c r="E920" s="1"/>
      <c r="F920" s="1"/>
      <c r="G920" s="1"/>
      <c r="H920" s="1"/>
      <c r="I920" s="1"/>
    </row>
    <row r="921" spans="2:9" ht="14.4">
      <c r="B921" s="1"/>
      <c r="C921" s="1"/>
      <c r="D921" s="1"/>
      <c r="E921" s="1"/>
      <c r="F921" s="1"/>
      <c r="G921" s="1"/>
      <c r="H921" s="1"/>
      <c r="I921" s="1"/>
    </row>
    <row r="922" spans="2:9" ht="14.4">
      <c r="B922" s="1"/>
      <c r="C922" s="1"/>
      <c r="D922" s="1"/>
      <c r="E922" s="1"/>
      <c r="F922" s="1"/>
      <c r="G922" s="1"/>
      <c r="H922" s="1"/>
      <c r="I922" s="1"/>
    </row>
    <row r="923" spans="2:9" ht="14.4">
      <c r="B923" s="1"/>
      <c r="C923" s="1"/>
      <c r="D923" s="1"/>
      <c r="E923" s="1"/>
      <c r="F923" s="1"/>
      <c r="G923" s="1"/>
      <c r="H923" s="1"/>
      <c r="I923" s="1"/>
    </row>
    <row r="924" spans="2:9" ht="14.4">
      <c r="B924" s="1"/>
      <c r="C924" s="1"/>
      <c r="D924" s="1"/>
      <c r="E924" s="1"/>
      <c r="F924" s="1"/>
      <c r="G924" s="1"/>
      <c r="H924" s="1"/>
      <c r="I924" s="1"/>
    </row>
    <row r="925" spans="2:9" ht="14.4">
      <c r="B925" s="1"/>
      <c r="C925" s="1"/>
      <c r="D925" s="1"/>
      <c r="E925" s="1"/>
      <c r="F925" s="1"/>
      <c r="G925" s="1"/>
      <c r="H925" s="1"/>
      <c r="I925" s="1"/>
    </row>
    <row r="926" spans="2:9" ht="14.4">
      <c r="B926" s="1"/>
      <c r="C926" s="1"/>
      <c r="D926" s="1"/>
      <c r="E926" s="1"/>
      <c r="F926" s="1"/>
      <c r="G926" s="1"/>
      <c r="H926" s="1"/>
      <c r="I926" s="1"/>
    </row>
    <row r="927" spans="2:9" ht="14.4">
      <c r="B927" s="1"/>
      <c r="C927" s="1"/>
      <c r="D927" s="1"/>
      <c r="E927" s="1"/>
      <c r="F927" s="1"/>
      <c r="G927" s="1"/>
      <c r="H927" s="1"/>
      <c r="I927" s="1"/>
    </row>
    <row r="928" spans="2:9" ht="14.4">
      <c r="B928" s="1"/>
      <c r="C928" s="1"/>
      <c r="D928" s="1"/>
      <c r="E928" s="1"/>
      <c r="F928" s="1"/>
      <c r="G928" s="1"/>
      <c r="H928" s="1"/>
      <c r="I928" s="1"/>
    </row>
    <row r="929" spans="2:9" ht="14.4">
      <c r="B929" s="1"/>
      <c r="C929" s="1"/>
      <c r="D929" s="1"/>
      <c r="E929" s="1"/>
      <c r="F929" s="1"/>
      <c r="G929" s="1"/>
      <c r="H929" s="1"/>
      <c r="I929" s="1"/>
    </row>
    <row r="930" spans="2:9" ht="14.4">
      <c r="B930" s="1"/>
      <c r="C930" s="1"/>
      <c r="D930" s="1"/>
      <c r="E930" s="1"/>
      <c r="F930" s="1"/>
      <c r="G930" s="1"/>
      <c r="H930" s="1"/>
      <c r="I930" s="1"/>
    </row>
    <row r="931" spans="2:9" ht="14.4">
      <c r="B931" s="1"/>
      <c r="C931" s="1"/>
      <c r="D931" s="1"/>
      <c r="E931" s="1"/>
      <c r="F931" s="1"/>
      <c r="G931" s="1"/>
      <c r="H931" s="1"/>
      <c r="I931" s="1"/>
    </row>
    <row r="932" spans="2:9" ht="14.4">
      <c r="B932" s="1"/>
      <c r="C932" s="1"/>
      <c r="D932" s="1"/>
      <c r="E932" s="1"/>
      <c r="F932" s="1"/>
      <c r="G932" s="1"/>
      <c r="H932" s="1"/>
      <c r="I932" s="1"/>
    </row>
    <row r="933" spans="2:9" ht="14.4">
      <c r="B933" s="1"/>
      <c r="C933" s="1"/>
      <c r="D933" s="1"/>
      <c r="E933" s="1"/>
      <c r="F933" s="1"/>
      <c r="G933" s="1"/>
      <c r="H933" s="1"/>
      <c r="I933" s="1"/>
    </row>
    <row r="934" spans="2:9" ht="14.4">
      <c r="B934" s="1"/>
      <c r="C934" s="1"/>
      <c r="D934" s="1"/>
      <c r="E934" s="1"/>
      <c r="F934" s="1"/>
      <c r="G934" s="1"/>
      <c r="H934" s="1"/>
      <c r="I934" s="1"/>
    </row>
    <row r="935" spans="2:9" ht="14.4">
      <c r="B935" s="1"/>
      <c r="C935" s="1"/>
      <c r="D935" s="1"/>
      <c r="E935" s="1"/>
      <c r="F935" s="1"/>
      <c r="G935" s="1"/>
      <c r="H935" s="1"/>
      <c r="I935" s="1"/>
    </row>
    <row r="936" spans="2:9" ht="14.4">
      <c r="B936" s="1"/>
      <c r="C936" s="1"/>
      <c r="D936" s="1"/>
      <c r="E936" s="1"/>
      <c r="F936" s="1"/>
      <c r="G936" s="1"/>
      <c r="H936" s="1"/>
      <c r="I936" s="1"/>
    </row>
    <row r="937" spans="2:9" ht="14.4">
      <c r="B937" s="1"/>
      <c r="C937" s="1"/>
      <c r="D937" s="1"/>
      <c r="E937" s="1"/>
      <c r="F937" s="1"/>
      <c r="G937" s="1"/>
      <c r="H937" s="1"/>
      <c r="I937" s="1"/>
    </row>
    <row r="938" spans="2:9" ht="14.4">
      <c r="B938" s="1"/>
      <c r="C938" s="1"/>
      <c r="D938" s="1"/>
      <c r="E938" s="1"/>
      <c r="F938" s="1"/>
      <c r="G938" s="1"/>
      <c r="H938" s="1"/>
      <c r="I938" s="1"/>
    </row>
    <row r="939" spans="2:9" ht="14.4">
      <c r="B939" s="1"/>
      <c r="C939" s="1"/>
      <c r="D939" s="1"/>
      <c r="E939" s="1"/>
      <c r="F939" s="1"/>
      <c r="G939" s="1"/>
      <c r="H939" s="1"/>
      <c r="I939" s="1"/>
    </row>
    <row r="940" spans="2:9" ht="14.4">
      <c r="B940" s="1"/>
      <c r="C940" s="1"/>
      <c r="D940" s="1"/>
      <c r="E940" s="1"/>
      <c r="F940" s="1"/>
      <c r="G940" s="1"/>
      <c r="H940" s="1"/>
      <c r="I940" s="1"/>
    </row>
    <row r="941" spans="2:9" ht="14.4">
      <c r="B941" s="1"/>
      <c r="C941" s="1"/>
      <c r="D941" s="1"/>
      <c r="E941" s="1"/>
      <c r="F941" s="1"/>
      <c r="G941" s="1"/>
      <c r="H941" s="1"/>
      <c r="I941" s="1"/>
    </row>
    <row r="942" spans="2:9" ht="14.4">
      <c r="B942" s="1"/>
      <c r="C942" s="1"/>
      <c r="D942" s="1"/>
      <c r="E942" s="1"/>
      <c r="F942" s="1"/>
      <c r="G942" s="1"/>
      <c r="H942" s="1"/>
      <c r="I942" s="1"/>
    </row>
    <row r="943" spans="2:9" ht="14.4">
      <c r="B943" s="1"/>
      <c r="C943" s="1"/>
      <c r="D943" s="1"/>
      <c r="E943" s="1"/>
      <c r="F943" s="1"/>
      <c r="G943" s="1"/>
      <c r="H943" s="1"/>
      <c r="I943" s="1"/>
    </row>
    <row r="944" spans="2:9" ht="14.4">
      <c r="B944" s="1"/>
      <c r="C944" s="1"/>
      <c r="D944" s="1"/>
      <c r="E944" s="1"/>
      <c r="F944" s="1"/>
      <c r="G944" s="1"/>
      <c r="H944" s="1"/>
      <c r="I944" s="1"/>
    </row>
    <row r="945" spans="2:9" ht="14.4">
      <c r="B945" s="1"/>
      <c r="C945" s="1"/>
      <c r="D945" s="1"/>
      <c r="E945" s="1"/>
      <c r="F945" s="1"/>
      <c r="G945" s="1"/>
      <c r="H945" s="1"/>
      <c r="I945" s="1"/>
    </row>
    <row r="946" spans="2:9" ht="14.4">
      <c r="B946" s="1"/>
      <c r="C946" s="1"/>
      <c r="D946" s="1"/>
      <c r="E946" s="1"/>
      <c r="F946" s="1"/>
      <c r="G946" s="1"/>
      <c r="H946" s="1"/>
      <c r="I946" s="1"/>
    </row>
    <row r="947" spans="2:9" ht="14.4">
      <c r="B947" s="1"/>
      <c r="C947" s="1"/>
      <c r="D947" s="1"/>
      <c r="E947" s="1"/>
      <c r="F947" s="1"/>
      <c r="G947" s="1"/>
      <c r="H947" s="1"/>
      <c r="I947" s="1"/>
    </row>
    <row r="948" spans="2:9" ht="14.4">
      <c r="B948" s="1"/>
      <c r="C948" s="1"/>
      <c r="D948" s="1"/>
      <c r="E948" s="1"/>
      <c r="F948" s="1"/>
      <c r="G948" s="1"/>
      <c r="H948" s="1"/>
      <c r="I948" s="1"/>
    </row>
    <row r="949" spans="2:9" ht="14.4">
      <c r="B949" s="1"/>
      <c r="C949" s="1"/>
      <c r="D949" s="1"/>
      <c r="E949" s="1"/>
      <c r="F949" s="1"/>
      <c r="G949" s="1"/>
      <c r="H949" s="1"/>
      <c r="I949" s="1"/>
    </row>
    <row r="950" spans="2:9" ht="14.4">
      <c r="B950" s="1"/>
      <c r="C950" s="1"/>
      <c r="D950" s="1"/>
      <c r="E950" s="1"/>
      <c r="F950" s="1"/>
      <c r="G950" s="1"/>
      <c r="H950" s="1"/>
      <c r="I950" s="1"/>
    </row>
    <row r="951" spans="2:9" ht="14.4">
      <c r="B951" s="1"/>
      <c r="C951" s="1"/>
      <c r="D951" s="1"/>
      <c r="E951" s="1"/>
      <c r="F951" s="1"/>
      <c r="G951" s="1"/>
      <c r="H951" s="1"/>
      <c r="I951" s="1"/>
    </row>
    <row r="952" spans="2:9" ht="14.4">
      <c r="B952" s="1"/>
      <c r="C952" s="1"/>
      <c r="D952" s="1"/>
      <c r="E952" s="1"/>
      <c r="F952" s="1"/>
      <c r="G952" s="1"/>
      <c r="H952" s="1"/>
      <c r="I952" s="1"/>
    </row>
    <row r="953" spans="2:9" ht="14.4">
      <c r="B953" s="1"/>
      <c r="C953" s="1"/>
      <c r="D953" s="1"/>
      <c r="E953" s="1"/>
      <c r="F953" s="1"/>
      <c r="G953" s="1"/>
      <c r="H953" s="1"/>
      <c r="I953" s="1"/>
    </row>
    <row r="954" spans="2:9" ht="14.4">
      <c r="B954" s="1"/>
      <c r="C954" s="1"/>
      <c r="D954" s="1"/>
      <c r="E954" s="1"/>
      <c r="F954" s="1"/>
      <c r="G954" s="1"/>
      <c r="H954" s="1"/>
      <c r="I954" s="1"/>
    </row>
    <row r="955" spans="2:9" ht="14.4">
      <c r="B955" s="1"/>
      <c r="C955" s="1"/>
      <c r="D955" s="1"/>
      <c r="E955" s="1"/>
      <c r="F955" s="1"/>
      <c r="G955" s="1"/>
      <c r="H955" s="1"/>
      <c r="I955" s="1"/>
    </row>
    <row r="956" spans="2:9" ht="14.4">
      <c r="B956" s="1"/>
      <c r="C956" s="1"/>
      <c r="D956" s="1"/>
      <c r="E956" s="1"/>
      <c r="F956" s="1"/>
      <c r="G956" s="1"/>
      <c r="H956" s="1"/>
      <c r="I956" s="1"/>
    </row>
    <row r="957" spans="2:9" ht="14.4">
      <c r="B957" s="1"/>
      <c r="C957" s="1"/>
      <c r="D957" s="1"/>
      <c r="E957" s="1"/>
      <c r="F957" s="1"/>
      <c r="G957" s="1"/>
      <c r="H957" s="1"/>
      <c r="I957" s="1"/>
    </row>
    <row r="958" spans="2:9" ht="14.4">
      <c r="B958" s="1"/>
      <c r="C958" s="1"/>
      <c r="D958" s="1"/>
      <c r="E958" s="1"/>
      <c r="F958" s="1"/>
      <c r="G958" s="1"/>
      <c r="H958" s="1"/>
      <c r="I958" s="1"/>
    </row>
    <row r="959" spans="2:9" ht="14.4">
      <c r="B959" s="1"/>
      <c r="C959" s="1"/>
      <c r="D959" s="1"/>
      <c r="E959" s="1"/>
      <c r="F959" s="1"/>
      <c r="G959" s="1"/>
      <c r="H959" s="1"/>
      <c r="I959" s="1"/>
    </row>
    <row r="960" spans="2:9" ht="14.4">
      <c r="B960" s="1"/>
      <c r="C960" s="1"/>
      <c r="D960" s="1"/>
      <c r="E960" s="1"/>
      <c r="F960" s="1"/>
      <c r="G960" s="1"/>
      <c r="H960" s="1"/>
      <c r="I960" s="1"/>
    </row>
    <row r="961" spans="2:9" ht="14.4">
      <c r="B961" s="1"/>
      <c r="C961" s="1"/>
      <c r="D961" s="1"/>
      <c r="E961" s="1"/>
      <c r="F961" s="1"/>
      <c r="G961" s="1"/>
      <c r="H961" s="1"/>
      <c r="I961" s="1"/>
    </row>
    <row r="962" spans="2:9" ht="14.4">
      <c r="B962" s="1"/>
      <c r="C962" s="1"/>
      <c r="D962" s="1"/>
      <c r="E962" s="1"/>
      <c r="F962" s="1"/>
      <c r="G962" s="1"/>
      <c r="H962" s="1"/>
      <c r="I962" s="1"/>
    </row>
    <row r="963" spans="2:9" ht="14.4">
      <c r="B963" s="1"/>
      <c r="C963" s="1"/>
      <c r="D963" s="1"/>
      <c r="E963" s="1"/>
      <c r="F963" s="1"/>
      <c r="G963" s="1"/>
      <c r="H963" s="1"/>
      <c r="I963" s="1"/>
    </row>
    <row r="964" spans="2:9" ht="14.4">
      <c r="B964" s="1"/>
      <c r="C964" s="1"/>
      <c r="D964" s="1"/>
      <c r="E964" s="1"/>
      <c r="F964" s="1"/>
      <c r="G964" s="1"/>
      <c r="H964" s="1"/>
      <c r="I964" s="1"/>
    </row>
    <row r="965" spans="2:9" ht="14.4">
      <c r="B965" s="1"/>
      <c r="C965" s="1"/>
      <c r="D965" s="1"/>
      <c r="E965" s="1"/>
      <c r="F965" s="1"/>
      <c r="G965" s="1"/>
      <c r="H965" s="1"/>
      <c r="I965" s="1"/>
    </row>
    <row r="966" spans="2:9" ht="14.4">
      <c r="B966" s="1"/>
      <c r="C966" s="1"/>
      <c r="D966" s="1"/>
      <c r="E966" s="1"/>
      <c r="F966" s="1"/>
      <c r="G966" s="1"/>
      <c r="H966" s="1"/>
      <c r="I966" s="1"/>
    </row>
    <row r="967" spans="2:9" ht="14.4">
      <c r="B967" s="1"/>
      <c r="C967" s="1"/>
      <c r="D967" s="1"/>
      <c r="E967" s="1"/>
      <c r="F967" s="1"/>
      <c r="G967" s="1"/>
      <c r="H967" s="1"/>
      <c r="I967" s="1"/>
    </row>
    <row r="968" spans="2:9" ht="14.4">
      <c r="B968" s="1"/>
      <c r="C968" s="1"/>
      <c r="D968" s="1"/>
      <c r="E968" s="1"/>
      <c r="F968" s="1"/>
      <c r="G968" s="1"/>
      <c r="H968" s="1"/>
      <c r="I968" s="1"/>
    </row>
    <row r="969" spans="2:9" ht="14.4">
      <c r="B969" s="1"/>
      <c r="C969" s="1"/>
      <c r="D969" s="1"/>
      <c r="E969" s="1"/>
      <c r="F969" s="1"/>
      <c r="G969" s="1"/>
      <c r="H969" s="1"/>
      <c r="I969" s="1"/>
    </row>
    <row r="970" spans="2:9" ht="14.4">
      <c r="B970" s="1"/>
      <c r="C970" s="1"/>
      <c r="D970" s="1"/>
      <c r="E970" s="1"/>
      <c r="F970" s="1"/>
      <c r="G970" s="1"/>
      <c r="H970" s="1"/>
      <c r="I970" s="1"/>
    </row>
    <row r="971" spans="2:9" ht="14.4">
      <c r="B971" s="1"/>
      <c r="C971" s="1"/>
      <c r="D971" s="1"/>
      <c r="E971" s="1"/>
      <c r="F971" s="1"/>
      <c r="G971" s="1"/>
      <c r="H971" s="1"/>
      <c r="I971" s="1"/>
    </row>
    <row r="972" spans="2:9" ht="14.4">
      <c r="B972" s="1"/>
      <c r="C972" s="1"/>
      <c r="D972" s="1"/>
      <c r="E972" s="1"/>
      <c r="F972" s="1"/>
      <c r="G972" s="1"/>
      <c r="H972" s="1"/>
      <c r="I972" s="1"/>
    </row>
    <row r="973" spans="2:9" ht="14.4">
      <c r="B973" s="1"/>
      <c r="C973" s="1"/>
      <c r="D973" s="1"/>
      <c r="E973" s="1"/>
      <c r="F973" s="1"/>
      <c r="G973" s="1"/>
      <c r="H973" s="1"/>
      <c r="I973" s="1"/>
    </row>
    <row r="974" spans="2:9" ht="14.4">
      <c r="B974" s="1"/>
      <c r="C974" s="1"/>
      <c r="D974" s="1"/>
      <c r="E974" s="1"/>
      <c r="F974" s="1"/>
      <c r="G974" s="1"/>
      <c r="H974" s="1"/>
      <c r="I974" s="1"/>
    </row>
    <row r="975" spans="2:9" ht="14.4">
      <c r="B975" s="1"/>
      <c r="C975" s="1"/>
      <c r="D975" s="1"/>
      <c r="E975" s="1"/>
      <c r="F975" s="1"/>
      <c r="G975" s="1"/>
      <c r="H975" s="1"/>
      <c r="I975" s="1"/>
    </row>
    <row r="976" spans="2:9" ht="14.4">
      <c r="B976" s="1"/>
      <c r="C976" s="1"/>
      <c r="D976" s="1"/>
      <c r="E976" s="1"/>
      <c r="F976" s="1"/>
      <c r="G976" s="1"/>
      <c r="H976" s="1"/>
      <c r="I976" s="1"/>
    </row>
    <row r="977" spans="2:9" ht="14.4">
      <c r="B977" s="1"/>
      <c r="C977" s="1"/>
      <c r="D977" s="1"/>
      <c r="E977" s="1"/>
      <c r="F977" s="1"/>
      <c r="G977" s="1"/>
      <c r="H977" s="1"/>
      <c r="I977" s="1"/>
    </row>
    <row r="978" spans="2:9" ht="14.4">
      <c r="B978" s="1"/>
      <c r="C978" s="1"/>
      <c r="D978" s="1"/>
      <c r="E978" s="1"/>
      <c r="F978" s="1"/>
      <c r="G978" s="1"/>
      <c r="H978" s="1"/>
      <c r="I978" s="1"/>
    </row>
    <row r="979" spans="2:9" ht="14.4">
      <c r="B979" s="1"/>
      <c r="C979" s="1"/>
      <c r="D979" s="1"/>
      <c r="E979" s="1"/>
      <c r="F979" s="1"/>
      <c r="G979" s="1"/>
      <c r="H979" s="1"/>
      <c r="I979" s="1"/>
    </row>
    <row r="980" spans="2:9" ht="14.4">
      <c r="B980" s="1"/>
      <c r="C980" s="1"/>
      <c r="D980" s="1"/>
      <c r="E980" s="1"/>
      <c r="F980" s="1"/>
      <c r="G980" s="1"/>
      <c r="H980" s="1"/>
      <c r="I980" s="1"/>
    </row>
    <row r="981" spans="2:9" ht="14.4">
      <c r="B981" s="1"/>
      <c r="C981" s="1"/>
      <c r="D981" s="1"/>
      <c r="E981" s="1"/>
      <c r="F981" s="1"/>
      <c r="G981" s="1"/>
      <c r="H981" s="1"/>
      <c r="I981" s="1"/>
    </row>
    <row r="982" spans="2:9" ht="14.4">
      <c r="B982" s="1"/>
      <c r="C982" s="1"/>
      <c r="D982" s="1"/>
      <c r="E982" s="1"/>
      <c r="F982" s="1"/>
      <c r="G982" s="1"/>
      <c r="H982" s="1"/>
      <c r="I982" s="1"/>
    </row>
    <row r="983" spans="2:9" ht="14.4">
      <c r="B983" s="1"/>
      <c r="C983" s="1"/>
      <c r="D983" s="1"/>
      <c r="E983" s="1"/>
      <c r="F983" s="1"/>
      <c r="G983" s="1"/>
      <c r="H983" s="1"/>
      <c r="I983" s="1"/>
    </row>
    <row r="984" spans="2:9" ht="14.4">
      <c r="B984" s="1"/>
      <c r="C984" s="1"/>
      <c r="D984" s="1"/>
      <c r="E984" s="1"/>
      <c r="F984" s="1"/>
      <c r="G984" s="1"/>
      <c r="H984" s="1"/>
      <c r="I984" s="1"/>
    </row>
    <row r="985" spans="2:9" ht="14.4">
      <c r="B985" s="1"/>
      <c r="C985" s="1"/>
      <c r="D985" s="1"/>
      <c r="E985" s="1"/>
      <c r="F985" s="1"/>
      <c r="G985" s="1"/>
      <c r="H985" s="1"/>
      <c r="I985" s="1"/>
    </row>
    <row r="986" spans="2:9" ht="14.4">
      <c r="B986" s="1"/>
      <c r="C986" s="1"/>
      <c r="D986" s="1"/>
      <c r="E986" s="1"/>
      <c r="F986" s="1"/>
      <c r="G986" s="1"/>
      <c r="H986" s="1"/>
      <c r="I986" s="1"/>
    </row>
    <row r="987" spans="2:9" ht="14.4">
      <c r="B987" s="1"/>
      <c r="C987" s="1"/>
      <c r="D987" s="1"/>
      <c r="E987" s="1"/>
      <c r="F987" s="1"/>
      <c r="G987" s="1"/>
      <c r="H987" s="1"/>
      <c r="I987" s="1"/>
    </row>
    <row r="988" spans="2:9" ht="14.4">
      <c r="B988" s="1"/>
      <c r="C988" s="1"/>
      <c r="D988" s="1"/>
      <c r="E988" s="1"/>
      <c r="F988" s="1"/>
      <c r="G988" s="1"/>
      <c r="H988" s="1"/>
      <c r="I988" s="1"/>
    </row>
    <row r="989" spans="2:9" ht="14.4">
      <c r="B989" s="1"/>
      <c r="C989" s="1"/>
      <c r="D989" s="1"/>
      <c r="E989" s="1"/>
      <c r="F989" s="1"/>
      <c r="G989" s="1"/>
      <c r="H989" s="1"/>
      <c r="I989" s="1"/>
    </row>
    <row r="990" spans="2:9" ht="14.4">
      <c r="B990" s="1"/>
      <c r="C990" s="1"/>
      <c r="D990" s="1"/>
      <c r="E990" s="1"/>
      <c r="F990" s="1"/>
      <c r="G990" s="1"/>
      <c r="H990" s="1"/>
      <c r="I990" s="1"/>
    </row>
    <row r="991" spans="2:9" ht="14.4">
      <c r="B991" s="1"/>
      <c r="C991" s="1"/>
      <c r="D991" s="1"/>
      <c r="E991" s="1"/>
      <c r="F991" s="1"/>
      <c r="G991" s="1"/>
      <c r="H991" s="1"/>
      <c r="I991" s="1"/>
    </row>
    <row r="992" spans="2:9" ht="14.4">
      <c r="B992" s="1"/>
      <c r="C992" s="1"/>
      <c r="D992" s="1"/>
      <c r="E992" s="1"/>
      <c r="F992" s="1"/>
      <c r="G992" s="1"/>
      <c r="H992" s="1"/>
      <c r="I992" s="1"/>
    </row>
    <row r="993" spans="2:9" ht="14.4">
      <c r="B993" s="1"/>
      <c r="C993" s="1"/>
      <c r="D993" s="1"/>
      <c r="E993" s="1"/>
      <c r="F993" s="1"/>
      <c r="G993" s="1"/>
      <c r="H993" s="1"/>
      <c r="I993" s="1"/>
    </row>
    <row r="994" spans="2:9" ht="14.4">
      <c r="B994" s="1"/>
      <c r="C994" s="1"/>
      <c r="D994" s="1"/>
      <c r="E994" s="1"/>
      <c r="F994" s="1"/>
      <c r="G994" s="1"/>
      <c r="H994" s="1"/>
      <c r="I994" s="1"/>
    </row>
    <row r="995" spans="2:9" ht="14.4">
      <c r="B995" s="1"/>
      <c r="C995" s="1"/>
      <c r="D995" s="1"/>
      <c r="E995" s="1"/>
      <c r="F995" s="1"/>
      <c r="G995" s="1"/>
      <c r="H995" s="1"/>
      <c r="I995" s="1"/>
    </row>
    <row r="996" spans="2:9" ht="14.4">
      <c r="B996" s="1"/>
      <c r="C996" s="1"/>
      <c r="D996" s="1"/>
      <c r="E996" s="1"/>
      <c r="F996" s="1"/>
      <c r="G996" s="1"/>
      <c r="H996" s="1"/>
      <c r="I996" s="1"/>
    </row>
    <row r="997" spans="2:9" ht="14.4">
      <c r="B997" s="1"/>
      <c r="C997" s="1"/>
      <c r="D997" s="1"/>
      <c r="E997" s="1"/>
      <c r="F997" s="1"/>
      <c r="G997" s="1"/>
      <c r="H997" s="1"/>
      <c r="I997" s="1"/>
    </row>
    <row r="998" spans="2:9" ht="14.4">
      <c r="B998" s="1"/>
      <c r="C998" s="1"/>
      <c r="D998" s="1"/>
      <c r="E998" s="1"/>
      <c r="F998" s="1"/>
      <c r="G998" s="1"/>
      <c r="H998" s="1"/>
      <c r="I998" s="1"/>
    </row>
    <row r="999" spans="2:9" ht="14.4">
      <c r="B999" s="1"/>
      <c r="C999" s="1"/>
      <c r="D999" s="1"/>
      <c r="E999" s="1"/>
      <c r="F999" s="1"/>
      <c r="G999" s="1"/>
      <c r="H999" s="1"/>
      <c r="I999" s="1"/>
    </row>
    <row r="1000" spans="2:9" ht="14.4">
      <c r="B1000" s="1"/>
      <c r="C1000" s="1"/>
      <c r="D1000" s="1"/>
      <c r="E1000" s="1"/>
      <c r="F1000" s="1"/>
      <c r="G1000" s="1"/>
      <c r="H1000" s="1"/>
      <c r="I1000" s="1"/>
    </row>
    <row r="1001" spans="2:9" ht="14.4">
      <c r="B1001" s="1"/>
      <c r="C1001" s="1"/>
      <c r="D1001" s="1"/>
      <c r="E1001" s="1"/>
      <c r="F1001" s="1"/>
      <c r="G1001" s="1"/>
      <c r="H1001" s="1"/>
      <c r="I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0DCB-81CB-4949-9790-1C7F94376FDA}">
  <dimension ref="A3:F12"/>
  <sheetViews>
    <sheetView topLeftCell="B1" zoomScale="71" workbookViewId="0">
      <selection activeCell="N26" sqref="N26"/>
    </sheetView>
  </sheetViews>
  <sheetFormatPr defaultRowHeight="13.8" outlineLevelCol="1"/>
  <cols>
    <col min="1" max="1" width="13.69921875" bestFit="1" customWidth="1" outlineLevel="1"/>
    <col min="2" max="2" width="13.5" bestFit="1" customWidth="1"/>
    <col min="3" max="3" width="13.59765625" bestFit="1" customWidth="1"/>
    <col min="4" max="4" width="7.796875" bestFit="1" customWidth="1"/>
    <col min="5" max="5" width="8.296875" bestFit="1" customWidth="1"/>
    <col min="6" max="6" width="8.09765625" bestFit="1" customWidth="1"/>
  </cols>
  <sheetData>
    <row r="3" spans="1:6">
      <c r="A3" s="10" t="s">
        <v>1124</v>
      </c>
      <c r="C3" s="10" t="s">
        <v>931</v>
      </c>
    </row>
    <row r="4" spans="1:6">
      <c r="A4" s="10" t="s">
        <v>1114</v>
      </c>
      <c r="B4" s="10" t="s">
        <v>926</v>
      </c>
      <c r="C4" t="s">
        <v>1106</v>
      </c>
      <c r="D4" t="s">
        <v>1112</v>
      </c>
      <c r="E4" t="s">
        <v>1111</v>
      </c>
      <c r="F4" t="s">
        <v>1110</v>
      </c>
    </row>
    <row r="5" spans="1:6">
      <c r="A5" t="s">
        <v>1123</v>
      </c>
      <c r="B5" s="11" t="s">
        <v>1115</v>
      </c>
      <c r="C5" s="12"/>
      <c r="D5" s="12">
        <v>21.87</v>
      </c>
      <c r="E5" s="12">
        <v>178.70999999999998</v>
      </c>
      <c r="F5" s="12"/>
    </row>
    <row r="6" spans="1:6">
      <c r="B6" s="11" t="s">
        <v>1116</v>
      </c>
      <c r="C6" s="12">
        <v>11.94</v>
      </c>
      <c r="D6" s="12"/>
      <c r="E6" s="12"/>
      <c r="F6" s="12"/>
    </row>
    <row r="7" spans="1:6">
      <c r="B7" s="11" t="s">
        <v>1117</v>
      </c>
      <c r="C7" s="12"/>
      <c r="D7" s="12"/>
      <c r="E7" s="12">
        <v>89.35499999999999</v>
      </c>
      <c r="F7" s="12">
        <v>130.13999999999999</v>
      </c>
    </row>
    <row r="8" spans="1:6">
      <c r="B8" s="11" t="s">
        <v>1118</v>
      </c>
      <c r="C8" s="12"/>
      <c r="D8" s="12"/>
      <c r="E8" s="12">
        <v>49.695</v>
      </c>
      <c r="F8" s="12">
        <v>7.169999999999999</v>
      </c>
    </row>
    <row r="9" spans="1:6">
      <c r="B9" s="11" t="s">
        <v>1119</v>
      </c>
      <c r="C9" s="12"/>
      <c r="D9" s="12"/>
      <c r="E9" s="12">
        <v>4.7549999999999999</v>
      </c>
      <c r="F9" s="12"/>
    </row>
    <row r="10" spans="1:6">
      <c r="B10" s="11" t="s">
        <v>1120</v>
      </c>
      <c r="C10" s="12"/>
      <c r="D10" s="12">
        <v>13.365</v>
      </c>
      <c r="E10" s="12">
        <v>145.82</v>
      </c>
      <c r="F10" s="12">
        <v>114.42499999999998</v>
      </c>
    </row>
    <row r="11" spans="1:6">
      <c r="B11" s="11" t="s">
        <v>1121</v>
      </c>
      <c r="C11" s="12"/>
      <c r="D11" s="12">
        <v>66.69</v>
      </c>
      <c r="E11" s="12"/>
      <c r="F11" s="12">
        <v>61.69</v>
      </c>
    </row>
    <row r="12" spans="1:6">
      <c r="B12" s="11" t="s">
        <v>1122</v>
      </c>
      <c r="C12" s="12">
        <v>56.759999999999991</v>
      </c>
      <c r="D12" s="12"/>
      <c r="E12" s="12">
        <v>15.54</v>
      </c>
      <c r="F12" s="12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C776-2EA1-46CA-915C-342C4B39C4A3}">
  <dimension ref="A1"/>
  <sheetViews>
    <sheetView tabSelected="1" workbookViewId="0">
      <selection activeCell="Q8" sqref="Q8"/>
    </sheetView>
  </sheetViews>
  <sheetFormatPr defaultRowHeight="13.8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74B1-C49F-48B3-B3A7-6D0A34ABDFC7}">
  <dimension ref="A1:M130"/>
  <sheetViews>
    <sheetView workbookViewId="0">
      <selection activeCell="C6" sqref="C6"/>
    </sheetView>
  </sheetViews>
  <sheetFormatPr defaultRowHeight="13.8"/>
  <cols>
    <col min="1" max="1" width="15.8984375" bestFit="1" customWidth="1"/>
    <col min="2" max="2" width="20.296875" customWidth="1"/>
    <col min="3" max="3" width="18.69921875" customWidth="1"/>
    <col min="4" max="4" width="14.59765625" customWidth="1"/>
    <col min="5" max="5" width="11" bestFit="1" customWidth="1"/>
    <col min="6" max="6" width="22.09765625" customWidth="1"/>
    <col min="7" max="7" width="30.69921875" bestFit="1" customWidth="1"/>
    <col min="8" max="8" width="15.09765625" customWidth="1"/>
    <col min="9" max="9" width="13" bestFit="1" customWidth="1"/>
    <col min="10" max="10" width="15.296875" customWidth="1"/>
    <col min="12" max="12" width="11.69921875" bestFit="1" customWidth="1"/>
  </cols>
  <sheetData>
    <row r="1" spans="1:13" ht="14.4">
      <c r="A1" s="3" t="s">
        <v>927</v>
      </c>
      <c r="B1" s="3" t="s">
        <v>926</v>
      </c>
      <c r="C1" s="3" t="s">
        <v>0</v>
      </c>
      <c r="D1" s="3" t="s">
        <v>928</v>
      </c>
      <c r="E1" s="3" t="s">
        <v>929</v>
      </c>
      <c r="F1" s="7" t="s">
        <v>930</v>
      </c>
      <c r="G1" s="8" t="s">
        <v>2</v>
      </c>
      <c r="H1" s="8" t="s">
        <v>6</v>
      </c>
      <c r="I1" s="8" t="s">
        <v>931</v>
      </c>
      <c r="J1" s="8" t="s">
        <v>932</v>
      </c>
      <c r="K1" s="8" t="s">
        <v>933</v>
      </c>
      <c r="L1" s="8" t="s">
        <v>934</v>
      </c>
      <c r="M1" s="8" t="s">
        <v>935</v>
      </c>
    </row>
    <row r="2" spans="1:13" ht="14.4">
      <c r="A2" s="5" t="s">
        <v>936</v>
      </c>
      <c r="B2" s="4">
        <v>43713</v>
      </c>
      <c r="C2" s="5" t="s">
        <v>9</v>
      </c>
      <c r="D2" s="6" t="s">
        <v>937</v>
      </c>
      <c r="E2" s="5">
        <v>2</v>
      </c>
      <c r="F2" t="str">
        <f>_xlfn.XLOOKUP(C2,customer_data!$B$1:$B$165,customer_data!$C$1:$C$165,,0)</f>
        <v>Aloisia Allner</v>
      </c>
      <c r="G2" t="str">
        <f>IF(_xlfn.XLOOKUP(C2,customer_data!$B$1:$B$165,customer_data!$D$1:$D$165,,0)=0,"",_xlfn.XLOOKUP(C2,customer_data!$B$1:$B$165,customer_data!$D$1:$D$165,,0))</f>
        <v>aallner0@lulu.com</v>
      </c>
      <c r="H2" t="str">
        <f>_xlfn.XLOOKUP(C2,customer_data!$B$1:$B$165,customer_data!$H$1:$H$165,,0)</f>
        <v>United States</v>
      </c>
      <c r="I2" t="str">
        <f>INDEX(Product_data!$A$1:$G$49,MATCH(order_data!$D2,Product_data!$A$1:$A$49,0),MATCH(order_data!I$1,Product_data!$A$1:$G$1,0))</f>
        <v>Robusta</v>
      </c>
      <c r="J2" t="str">
        <f>INDEX(Product_data!$A$1:$G$49,MATCH(order_data!$D2,Product_data!$A$1:$A$49,0),MATCH(order_data!J$1,Product_data!$A$1:$G$1,0))</f>
        <v>Medium Roast</v>
      </c>
      <c r="K2">
        <f>INDEX(Product_data!$A$1:$G$49,MATCH(order_data!$D2,Product_data!$A$1:$A$49,0),MATCH(order_data!K$1,Product_data!$A$1:$G$1,0))</f>
        <v>1</v>
      </c>
      <c r="L2">
        <f>INDEX(Product_data!$A$1:$G$49,MATCH(order_data!$D2,Product_data!$A$1:$A$49,0),MATCH(order_data!L$1,Product_data!$A$1:$G$1,0))</f>
        <v>9.9499999999999993</v>
      </c>
      <c r="M2">
        <f>L2*E2</f>
        <v>19.899999999999999</v>
      </c>
    </row>
    <row r="3" spans="1:13" ht="14.4">
      <c r="A3" s="5" t="s">
        <v>936</v>
      </c>
      <c r="B3" s="4">
        <v>43713</v>
      </c>
      <c r="C3" s="5" t="s">
        <v>9</v>
      </c>
      <c r="D3" s="6" t="s">
        <v>938</v>
      </c>
      <c r="E3" s="5">
        <v>5</v>
      </c>
      <c r="F3" t="str">
        <f>_xlfn.XLOOKUP(C3,customer_data!$B$1:$B$165,customer_data!$C$1:$C$165,,0)</f>
        <v>Aloisia Allner</v>
      </c>
      <c r="G3" t="str">
        <f>IF(_xlfn.XLOOKUP(C3,customer_data!$B$1:$B$165,customer_data!$D$1:$D$165,,0)=0,"",_xlfn.XLOOKUP(C3,customer_data!$B$1:$B$165,customer_data!$D$1:$D$165,,0))</f>
        <v>aallner0@lulu.com</v>
      </c>
      <c r="H3" t="str">
        <f>_xlfn.XLOOKUP(C3,customer_data!$B$1:$B$165,customer_data!$H$1:$H$165,,0)</f>
        <v>United States</v>
      </c>
      <c r="I3" t="str">
        <f>INDEX(Product_data!$A$1:$G$49,MATCH(order_data!$D3,Product_data!$A$1:$A$49,0),MATCH(order_data!I$1,Product_data!$A$1:$G$1,0))</f>
        <v>Excelsa</v>
      </c>
      <c r="J3" t="str">
        <f>INDEX(Product_data!$A$1:$G$49,MATCH(order_data!$D3,Product_data!$A$1:$A$49,0),MATCH(order_data!J$1,Product_data!$A$1:$G$1,0))</f>
        <v>Medium Roast</v>
      </c>
      <c r="K3">
        <f>INDEX(Product_data!$A$1:$G$49,MATCH(order_data!$D3,Product_data!$A$1:$A$49,0),MATCH(order_data!K$1,Product_data!$A$1:$G$1,0))</f>
        <v>0.5</v>
      </c>
      <c r="L3">
        <f>INDEX(Product_data!$A$1:$G$49,MATCH(order_data!$D3,Product_data!$A$1:$A$49,0),MATCH(order_data!L$1,Product_data!$A$1:$G$1,0))</f>
        <v>8.25</v>
      </c>
      <c r="M3">
        <f t="shared" ref="M3:M66" si="0">L3*E3</f>
        <v>41.25</v>
      </c>
    </row>
    <row r="4" spans="1:13" ht="14.4">
      <c r="A4" s="5" t="s">
        <v>939</v>
      </c>
      <c r="B4" s="4">
        <v>44364</v>
      </c>
      <c r="C4" s="5" t="s">
        <v>25</v>
      </c>
      <c r="D4" s="6" t="s">
        <v>940</v>
      </c>
      <c r="E4" s="5">
        <v>1</v>
      </c>
      <c r="F4" t="str">
        <f>_xlfn.XLOOKUP(C4,customer_data!$B$1:$B$165,customer_data!$C$1:$C$165,,0)</f>
        <v>Jami Redholes</v>
      </c>
      <c r="G4" t="str">
        <f>IF(_xlfn.XLOOKUP(C4,customer_data!$B$1:$B$165,customer_data!$D$1:$D$165,,0)=0,"",_xlfn.XLOOKUP(C4,customer_data!$B$1:$B$165,customer_data!$D$1:$D$165,,0))</f>
        <v>jredholes2@tmall.com</v>
      </c>
      <c r="H4" t="str">
        <f>_xlfn.XLOOKUP(C4,customer_data!$B$1:$B$165,customer_data!$H$1:$H$165,,0)</f>
        <v>United States</v>
      </c>
      <c r="I4" t="str">
        <f>INDEX(Product_data!$A$1:$G$49,MATCH(order_data!$D4,Product_data!$A$1:$A$49,0),MATCH(order_data!I$1,Product_data!$A$1:$G$1,0))</f>
        <v>Arabica</v>
      </c>
      <c r="J4" t="str">
        <f>INDEX(Product_data!$A$1:$G$49,MATCH(order_data!$D4,Product_data!$A$1:$A$49,0),MATCH(order_data!J$1,Product_data!$A$1:$G$1,0))</f>
        <v>Light Roast</v>
      </c>
      <c r="K4">
        <f>INDEX(Product_data!$A$1:$G$49,MATCH(order_data!$D4,Product_data!$A$1:$A$49,0),MATCH(order_data!K$1,Product_data!$A$1:$G$1,0))</f>
        <v>1</v>
      </c>
      <c r="L4">
        <f>INDEX(Product_data!$A$1:$G$49,MATCH(order_data!$D4,Product_data!$A$1:$A$49,0),MATCH(order_data!L$1,Product_data!$A$1:$G$1,0))</f>
        <v>12.95</v>
      </c>
      <c r="M4">
        <f t="shared" si="0"/>
        <v>12.95</v>
      </c>
    </row>
    <row r="5" spans="1:13" ht="14.4">
      <c r="A5" s="5" t="s">
        <v>941</v>
      </c>
      <c r="B5" s="4">
        <v>44392</v>
      </c>
      <c r="C5" s="5" t="s">
        <v>37</v>
      </c>
      <c r="D5" s="6" t="s">
        <v>942</v>
      </c>
      <c r="E5" s="5">
        <v>2</v>
      </c>
      <c r="F5" t="str">
        <f>_xlfn.XLOOKUP(C5,customer_data!$B$1:$B$165,customer_data!$C$1:$C$165,,0)</f>
        <v>Christoffer O' Shea</v>
      </c>
      <c r="G5" t="str">
        <f>IF(_xlfn.XLOOKUP(C5,customer_data!$B$1:$B$165,customer_data!$D$1:$D$165,,0)=0,"",_xlfn.XLOOKUP(C5,customer_data!$B$1:$B$165,customer_data!$D$1:$D$165,,0))</f>
        <v/>
      </c>
      <c r="H5" t="str">
        <f>_xlfn.XLOOKUP(C5,customer_data!$B$1:$B$165,customer_data!$H$1:$H$165,,0)</f>
        <v>Ireland</v>
      </c>
      <c r="I5" t="str">
        <f>INDEX(Product_data!$A$1:$G$49,MATCH(order_data!$D5,Product_data!$A$1:$A$49,0),MATCH(order_data!I$1,Product_data!$A$1:$G$1,0))</f>
        <v>Excelsa</v>
      </c>
      <c r="J5" t="str">
        <f>INDEX(Product_data!$A$1:$G$49,MATCH(order_data!$D5,Product_data!$A$1:$A$49,0),MATCH(order_data!J$1,Product_data!$A$1:$G$1,0))</f>
        <v>Medium Roast</v>
      </c>
      <c r="K5">
        <f>INDEX(Product_data!$A$1:$G$49,MATCH(order_data!$D5,Product_data!$A$1:$A$49,0),MATCH(order_data!K$1,Product_data!$A$1:$G$1,0))</f>
        <v>1</v>
      </c>
      <c r="L5">
        <f>INDEX(Product_data!$A$1:$G$49,MATCH(order_data!$D5,Product_data!$A$1:$A$49,0),MATCH(order_data!L$1,Product_data!$A$1:$G$1,0))</f>
        <v>13.75</v>
      </c>
      <c r="M5">
        <f t="shared" si="0"/>
        <v>27.5</v>
      </c>
    </row>
    <row r="6" spans="1:13" ht="14.4">
      <c r="A6" s="5" t="s">
        <v>941</v>
      </c>
      <c r="B6" s="4">
        <v>44392</v>
      </c>
      <c r="C6" s="5" t="s">
        <v>37</v>
      </c>
      <c r="D6" s="6" t="s">
        <v>943</v>
      </c>
      <c r="E6" s="5">
        <v>2</v>
      </c>
      <c r="F6" t="str">
        <f>_xlfn.XLOOKUP(C6,customer_data!$B$1:$B$165,customer_data!$C$1:$C$165,,0)</f>
        <v>Christoffer O' Shea</v>
      </c>
      <c r="G6" t="str">
        <f>IF(_xlfn.XLOOKUP(C6,customer_data!$B$1:$B$165,customer_data!$D$1:$D$165,,0)=0,"",_xlfn.XLOOKUP(C6,customer_data!$B$1:$B$165,customer_data!$D$1:$D$165,,0))</f>
        <v/>
      </c>
      <c r="H6" t="str">
        <f>_xlfn.XLOOKUP(C6,customer_data!$B$1:$B$165,customer_data!$H$1:$H$165,,0)</f>
        <v>Ireland</v>
      </c>
      <c r="I6" t="str">
        <f>INDEX(Product_data!$A$1:$G$49,MATCH(order_data!$D6,Product_data!$A$1:$A$49,0),MATCH(order_data!I$1,Product_data!$A$1:$G$1,0))</f>
        <v>Robusta</v>
      </c>
      <c r="J6" t="str">
        <f>INDEX(Product_data!$A$1:$G$49,MATCH(order_data!$D6,Product_data!$A$1:$A$49,0),MATCH(order_data!J$1,Product_data!$A$1:$G$1,0))</f>
        <v>Light Roast</v>
      </c>
      <c r="K6">
        <f>INDEX(Product_data!$A$1:$G$49,MATCH(order_data!$D6,Product_data!$A$1:$A$49,0),MATCH(order_data!K$1,Product_data!$A$1:$G$1,0))</f>
        <v>2.5</v>
      </c>
      <c r="L6">
        <f>INDEX(Product_data!$A$1:$G$49,MATCH(order_data!$D6,Product_data!$A$1:$A$49,0),MATCH(order_data!L$1,Product_data!$A$1:$G$1,0))</f>
        <v>27.484999999999996</v>
      </c>
      <c r="M6">
        <f t="shared" si="0"/>
        <v>54.969999999999992</v>
      </c>
    </row>
    <row r="7" spans="1:13" ht="14.4">
      <c r="A7" s="5" t="s">
        <v>944</v>
      </c>
      <c r="B7" s="4">
        <v>44412</v>
      </c>
      <c r="C7" s="5" t="s">
        <v>43</v>
      </c>
      <c r="D7" s="6" t="s">
        <v>945</v>
      </c>
      <c r="E7" s="5">
        <v>3</v>
      </c>
      <c r="F7" t="str">
        <f>_xlfn.XLOOKUP(C7,customer_data!$B$1:$B$165,customer_data!$C$1:$C$165,,0)</f>
        <v>Beryle Cottier</v>
      </c>
      <c r="G7" t="str">
        <f>IF(_xlfn.XLOOKUP(C7,customer_data!$B$1:$B$165,customer_data!$D$1:$D$165,,0)=0,"",_xlfn.XLOOKUP(C7,customer_data!$B$1:$B$165,customer_data!$D$1:$D$165,,0))</f>
        <v/>
      </c>
      <c r="H7" t="str">
        <f>_xlfn.XLOOKUP(C7,customer_data!$B$1:$B$165,customer_data!$H$1:$H$165,,0)</f>
        <v>United States</v>
      </c>
      <c r="I7" t="str">
        <f>INDEX(Product_data!$A$1:$G$49,MATCH(order_data!$D7,Product_data!$A$1:$A$49,0),MATCH(order_data!I$1,Product_data!$A$1:$G$1,0))</f>
        <v>Liberica</v>
      </c>
      <c r="J7" t="str">
        <f>INDEX(Product_data!$A$1:$G$49,MATCH(order_data!$D7,Product_data!$A$1:$A$49,0),MATCH(order_data!J$1,Product_data!$A$1:$G$1,0))</f>
        <v>Dark Roast</v>
      </c>
      <c r="K7">
        <f>INDEX(Product_data!$A$1:$G$49,MATCH(order_data!$D7,Product_data!$A$1:$A$49,0),MATCH(order_data!K$1,Product_data!$A$1:$G$1,0))</f>
        <v>1</v>
      </c>
      <c r="L7">
        <f>INDEX(Product_data!$A$1:$G$49,MATCH(order_data!$D7,Product_data!$A$1:$A$49,0),MATCH(order_data!L$1,Product_data!$A$1:$G$1,0))</f>
        <v>12.95</v>
      </c>
      <c r="M7">
        <f t="shared" si="0"/>
        <v>38.849999999999994</v>
      </c>
    </row>
    <row r="8" spans="1:13" ht="14.4">
      <c r="A8" s="5" t="s">
        <v>946</v>
      </c>
      <c r="B8" s="4">
        <v>44582</v>
      </c>
      <c r="C8" s="5" t="s">
        <v>48</v>
      </c>
      <c r="D8" s="6" t="s">
        <v>947</v>
      </c>
      <c r="E8" s="5">
        <v>3</v>
      </c>
      <c r="F8" t="str">
        <f>_xlfn.XLOOKUP(C8,customer_data!$B$1:$B$165,customer_data!$C$1:$C$165,,0)</f>
        <v>Shaylynn Lobe</v>
      </c>
      <c r="G8" t="str">
        <f>IF(_xlfn.XLOOKUP(C8,customer_data!$B$1:$B$165,customer_data!$D$1:$D$165,,0)=0,"",_xlfn.XLOOKUP(C8,customer_data!$B$1:$B$165,customer_data!$D$1:$D$165,,0))</f>
        <v>slobe6@nifty.com</v>
      </c>
      <c r="H8" t="str">
        <f>_xlfn.XLOOKUP(C8,customer_data!$B$1:$B$165,customer_data!$H$1:$H$165,,0)</f>
        <v>United States</v>
      </c>
      <c r="I8" t="str">
        <f>INDEX(Product_data!$A$1:$G$49,MATCH(order_data!$D8,Product_data!$A$1:$A$49,0),MATCH(order_data!I$1,Product_data!$A$1:$G$1,0))</f>
        <v>Excelsa</v>
      </c>
      <c r="J8" t="str">
        <f>INDEX(Product_data!$A$1:$G$49,MATCH(order_data!$D8,Product_data!$A$1:$A$49,0),MATCH(order_data!J$1,Product_data!$A$1:$G$1,0))</f>
        <v>Dark Roast</v>
      </c>
      <c r="K8">
        <f>INDEX(Product_data!$A$1:$G$49,MATCH(order_data!$D8,Product_data!$A$1:$A$49,0),MATCH(order_data!K$1,Product_data!$A$1:$G$1,0))</f>
        <v>0.5</v>
      </c>
      <c r="L8">
        <f>INDEX(Product_data!$A$1:$G$49,MATCH(order_data!$D8,Product_data!$A$1:$A$49,0),MATCH(order_data!L$1,Product_data!$A$1:$G$1,0))</f>
        <v>7.29</v>
      </c>
      <c r="M8">
        <f t="shared" si="0"/>
        <v>21.87</v>
      </c>
    </row>
    <row r="9" spans="1:13" ht="14.4">
      <c r="A9" s="5" t="s">
        <v>948</v>
      </c>
      <c r="B9" s="4">
        <v>44701</v>
      </c>
      <c r="C9" s="5" t="s">
        <v>54</v>
      </c>
      <c r="D9" s="6" t="s">
        <v>949</v>
      </c>
      <c r="E9" s="5">
        <v>1</v>
      </c>
      <c r="F9" t="str">
        <f>_xlfn.XLOOKUP(C9,customer_data!$B$1:$B$165,customer_data!$C$1:$C$165,,0)</f>
        <v>Melvin Wharfe</v>
      </c>
      <c r="G9" t="str">
        <f>IF(_xlfn.XLOOKUP(C9,customer_data!$B$1:$B$165,customer_data!$D$1:$D$165,,0)=0,"",_xlfn.XLOOKUP(C9,customer_data!$B$1:$B$165,customer_data!$D$1:$D$165,,0))</f>
        <v/>
      </c>
      <c r="H9" t="str">
        <f>_xlfn.XLOOKUP(C9,customer_data!$B$1:$B$165,customer_data!$H$1:$H$165,,0)</f>
        <v>Ireland</v>
      </c>
      <c r="I9" t="str">
        <f>INDEX(Product_data!$A$1:$G$49,MATCH(order_data!$D9,Product_data!$A$1:$A$49,0),MATCH(order_data!I$1,Product_data!$A$1:$G$1,0))</f>
        <v>Liberica</v>
      </c>
      <c r="J9" t="str">
        <f>INDEX(Product_data!$A$1:$G$49,MATCH(order_data!$D9,Product_data!$A$1:$A$49,0),MATCH(order_data!J$1,Product_data!$A$1:$G$1,0))</f>
        <v>Light Roast</v>
      </c>
      <c r="K9">
        <f>INDEX(Product_data!$A$1:$G$49,MATCH(order_data!$D9,Product_data!$A$1:$A$49,0),MATCH(order_data!K$1,Product_data!$A$1:$G$1,0))</f>
        <v>0.2</v>
      </c>
      <c r="L9">
        <f>INDEX(Product_data!$A$1:$G$49,MATCH(order_data!$D9,Product_data!$A$1:$A$49,0),MATCH(order_data!L$1,Product_data!$A$1:$G$1,0))</f>
        <v>4.7549999999999999</v>
      </c>
      <c r="M9">
        <f t="shared" si="0"/>
        <v>4.7549999999999999</v>
      </c>
    </row>
    <row r="10" spans="1:13" ht="14.4">
      <c r="A10" s="5" t="s">
        <v>950</v>
      </c>
      <c r="B10" s="4">
        <v>43467</v>
      </c>
      <c r="C10" s="5" t="s">
        <v>60</v>
      </c>
      <c r="D10" s="6" t="s">
        <v>951</v>
      </c>
      <c r="E10" s="5">
        <v>3</v>
      </c>
      <c r="F10" t="str">
        <f>_xlfn.XLOOKUP(C10,customer_data!$B$1:$B$165,customer_data!$C$1:$C$165,,0)</f>
        <v>Guthrey Petracci</v>
      </c>
      <c r="G10" t="str">
        <f>IF(_xlfn.XLOOKUP(C10,customer_data!$B$1:$B$165,customer_data!$D$1:$D$165,,0)=0,"",_xlfn.XLOOKUP(C10,customer_data!$B$1:$B$165,customer_data!$D$1:$D$165,,0))</f>
        <v>gpetracci8@livejournal.com</v>
      </c>
      <c r="H10" t="str">
        <f>_xlfn.XLOOKUP(C10,customer_data!$B$1:$B$165,customer_data!$H$1:$H$165,,0)</f>
        <v>United States</v>
      </c>
      <c r="I10" t="str">
        <f>INDEX(Product_data!$A$1:$G$49,MATCH(order_data!$D10,Product_data!$A$1:$A$49,0),MATCH(order_data!I$1,Product_data!$A$1:$G$1,0))</f>
        <v>Robusta</v>
      </c>
      <c r="J10" t="str">
        <f>INDEX(Product_data!$A$1:$G$49,MATCH(order_data!$D10,Product_data!$A$1:$A$49,0),MATCH(order_data!J$1,Product_data!$A$1:$G$1,0))</f>
        <v>Medium Roast</v>
      </c>
      <c r="K10">
        <f>INDEX(Product_data!$A$1:$G$49,MATCH(order_data!$D10,Product_data!$A$1:$A$49,0),MATCH(order_data!K$1,Product_data!$A$1:$G$1,0))</f>
        <v>0.5</v>
      </c>
      <c r="L10">
        <f>INDEX(Product_data!$A$1:$G$49,MATCH(order_data!$D10,Product_data!$A$1:$A$49,0),MATCH(order_data!L$1,Product_data!$A$1:$G$1,0))</f>
        <v>5.97</v>
      </c>
      <c r="M10">
        <f t="shared" si="0"/>
        <v>17.91</v>
      </c>
    </row>
    <row r="11" spans="1:13" ht="14.4">
      <c r="A11" s="5" t="s">
        <v>952</v>
      </c>
      <c r="B11" s="4">
        <v>43713</v>
      </c>
      <c r="C11" s="5" t="s">
        <v>66</v>
      </c>
      <c r="D11" s="6" t="s">
        <v>951</v>
      </c>
      <c r="E11" s="5">
        <v>1</v>
      </c>
      <c r="F11" t="str">
        <f>_xlfn.XLOOKUP(C11,customer_data!$B$1:$B$165,customer_data!$C$1:$C$165,,0)</f>
        <v>Rodger Raven</v>
      </c>
      <c r="G11" t="str">
        <f>IF(_xlfn.XLOOKUP(C11,customer_data!$B$1:$B$165,customer_data!$D$1:$D$165,,0)=0,"",_xlfn.XLOOKUP(C11,customer_data!$B$1:$B$165,customer_data!$D$1:$D$165,,0))</f>
        <v>rraven9@ed.gov</v>
      </c>
      <c r="H11" t="str">
        <f>_xlfn.XLOOKUP(C11,customer_data!$B$1:$B$165,customer_data!$H$1:$H$165,,0)</f>
        <v>United States</v>
      </c>
      <c r="I11" t="str">
        <f>INDEX(Product_data!$A$1:$G$49,MATCH(order_data!$D11,Product_data!$A$1:$A$49,0),MATCH(order_data!I$1,Product_data!$A$1:$G$1,0))</f>
        <v>Robusta</v>
      </c>
      <c r="J11" t="str">
        <f>INDEX(Product_data!$A$1:$G$49,MATCH(order_data!$D11,Product_data!$A$1:$A$49,0),MATCH(order_data!J$1,Product_data!$A$1:$G$1,0))</f>
        <v>Medium Roast</v>
      </c>
      <c r="K11">
        <f>INDEX(Product_data!$A$1:$G$49,MATCH(order_data!$D11,Product_data!$A$1:$A$49,0),MATCH(order_data!K$1,Product_data!$A$1:$G$1,0))</f>
        <v>0.5</v>
      </c>
      <c r="L11">
        <f>INDEX(Product_data!$A$1:$G$49,MATCH(order_data!$D11,Product_data!$A$1:$A$49,0),MATCH(order_data!L$1,Product_data!$A$1:$G$1,0))</f>
        <v>5.97</v>
      </c>
      <c r="M11">
        <f t="shared" si="0"/>
        <v>5.97</v>
      </c>
    </row>
    <row r="12" spans="1:13" ht="14.4">
      <c r="A12" s="5" t="s">
        <v>953</v>
      </c>
      <c r="B12" s="4">
        <v>44263</v>
      </c>
      <c r="C12" s="5" t="s">
        <v>71</v>
      </c>
      <c r="D12" s="6" t="s">
        <v>954</v>
      </c>
      <c r="E12" s="5">
        <v>4</v>
      </c>
      <c r="F12" t="str">
        <f>_xlfn.XLOOKUP(C12,customer_data!$B$1:$B$165,customer_data!$C$1:$C$165,,0)</f>
        <v>Ferrell Ferber</v>
      </c>
      <c r="G12" t="str">
        <f>IF(_xlfn.XLOOKUP(C12,customer_data!$B$1:$B$165,customer_data!$D$1:$D$165,,0)=0,"",_xlfn.XLOOKUP(C12,customer_data!$B$1:$B$165,customer_data!$D$1:$D$165,,0))</f>
        <v>fferbera@businesswire.com</v>
      </c>
      <c r="H12" t="str">
        <f>_xlfn.XLOOKUP(C12,customer_data!$B$1:$B$165,customer_data!$H$1:$H$165,,0)</f>
        <v>United States</v>
      </c>
      <c r="I12" t="str">
        <f>INDEX(Product_data!$A$1:$G$49,MATCH(order_data!$D12,Product_data!$A$1:$A$49,0),MATCH(order_data!I$1,Product_data!$A$1:$G$1,0))</f>
        <v>Arabica</v>
      </c>
      <c r="J12" t="str">
        <f>INDEX(Product_data!$A$1:$G$49,MATCH(order_data!$D12,Product_data!$A$1:$A$49,0),MATCH(order_data!J$1,Product_data!$A$1:$G$1,0))</f>
        <v>Dark Roast</v>
      </c>
      <c r="K12">
        <f>INDEX(Product_data!$A$1:$G$49,MATCH(order_data!$D12,Product_data!$A$1:$A$49,0),MATCH(order_data!K$1,Product_data!$A$1:$G$1,0))</f>
        <v>1</v>
      </c>
      <c r="L12">
        <f>INDEX(Product_data!$A$1:$G$49,MATCH(order_data!$D12,Product_data!$A$1:$A$49,0),MATCH(order_data!L$1,Product_data!$A$1:$G$1,0))</f>
        <v>9.9499999999999993</v>
      </c>
      <c r="M12">
        <f t="shared" si="0"/>
        <v>39.799999999999997</v>
      </c>
    </row>
    <row r="13" spans="1:13" ht="14.4">
      <c r="A13" s="5" t="s">
        <v>955</v>
      </c>
      <c r="B13" s="4">
        <v>44132</v>
      </c>
      <c r="C13" s="5" t="s">
        <v>77</v>
      </c>
      <c r="D13" s="6" t="s">
        <v>956</v>
      </c>
      <c r="E13" s="5">
        <v>5</v>
      </c>
      <c r="F13" t="str">
        <f>_xlfn.XLOOKUP(C13,customer_data!$B$1:$B$165,customer_data!$C$1:$C$165,,0)</f>
        <v>Duky Phizackerly</v>
      </c>
      <c r="G13" t="str">
        <f>IF(_xlfn.XLOOKUP(C13,customer_data!$B$1:$B$165,customer_data!$D$1:$D$165,,0)=0,"",_xlfn.XLOOKUP(C13,customer_data!$B$1:$B$165,customer_data!$D$1:$D$165,,0))</f>
        <v>dphizackerlyb@utexas.edu</v>
      </c>
      <c r="H13" t="str">
        <f>_xlfn.XLOOKUP(C13,customer_data!$B$1:$B$165,customer_data!$H$1:$H$165,,0)</f>
        <v>United States</v>
      </c>
      <c r="I13" t="str">
        <f>INDEX(Product_data!$A$1:$G$49,MATCH(order_data!$D13,Product_data!$A$1:$A$49,0),MATCH(order_data!I$1,Product_data!$A$1:$G$1,0))</f>
        <v>Excelsa</v>
      </c>
      <c r="J13" t="str">
        <f>INDEX(Product_data!$A$1:$G$49,MATCH(order_data!$D13,Product_data!$A$1:$A$49,0),MATCH(order_data!J$1,Product_data!$A$1:$G$1,0))</f>
        <v>Light Roast</v>
      </c>
      <c r="K13">
        <f>INDEX(Product_data!$A$1:$G$49,MATCH(order_data!$D13,Product_data!$A$1:$A$49,0),MATCH(order_data!K$1,Product_data!$A$1:$G$1,0))</f>
        <v>2.5</v>
      </c>
      <c r="L13">
        <f>INDEX(Product_data!$A$1:$G$49,MATCH(order_data!$D13,Product_data!$A$1:$A$49,0),MATCH(order_data!L$1,Product_data!$A$1:$G$1,0))</f>
        <v>34.154999999999994</v>
      </c>
      <c r="M13">
        <f t="shared" si="0"/>
        <v>170.77499999999998</v>
      </c>
    </row>
    <row r="14" spans="1:13" ht="14.4">
      <c r="A14" s="5" t="s">
        <v>957</v>
      </c>
      <c r="B14" s="4">
        <v>44744</v>
      </c>
      <c r="C14" s="5" t="s">
        <v>82</v>
      </c>
      <c r="D14" s="6" t="s">
        <v>937</v>
      </c>
      <c r="E14" s="5">
        <v>5</v>
      </c>
      <c r="F14" t="str">
        <f>_xlfn.XLOOKUP(C14,customer_data!$B$1:$B$165,customer_data!$C$1:$C$165,,0)</f>
        <v>Rosaleen Scholar</v>
      </c>
      <c r="G14" t="str">
        <f>IF(_xlfn.XLOOKUP(C14,customer_data!$B$1:$B$165,customer_data!$D$1:$D$165,,0)=0,"",_xlfn.XLOOKUP(C14,customer_data!$B$1:$B$165,customer_data!$D$1:$D$165,,0))</f>
        <v>rscholarc@nyu.edu</v>
      </c>
      <c r="H14" t="str">
        <f>_xlfn.XLOOKUP(C14,customer_data!$B$1:$B$165,customer_data!$H$1:$H$165,,0)</f>
        <v>United States</v>
      </c>
      <c r="I14" t="str">
        <f>INDEX(Product_data!$A$1:$G$49,MATCH(order_data!$D14,Product_data!$A$1:$A$49,0),MATCH(order_data!I$1,Product_data!$A$1:$G$1,0))</f>
        <v>Robusta</v>
      </c>
      <c r="J14" t="str">
        <f>INDEX(Product_data!$A$1:$G$49,MATCH(order_data!$D14,Product_data!$A$1:$A$49,0),MATCH(order_data!J$1,Product_data!$A$1:$G$1,0))</f>
        <v>Medium Roast</v>
      </c>
      <c r="K14">
        <f>INDEX(Product_data!$A$1:$G$49,MATCH(order_data!$D14,Product_data!$A$1:$A$49,0),MATCH(order_data!K$1,Product_data!$A$1:$G$1,0))</f>
        <v>1</v>
      </c>
      <c r="L14">
        <f>INDEX(Product_data!$A$1:$G$49,MATCH(order_data!$D14,Product_data!$A$1:$A$49,0),MATCH(order_data!L$1,Product_data!$A$1:$G$1,0))</f>
        <v>9.9499999999999993</v>
      </c>
      <c r="M14">
        <f t="shared" si="0"/>
        <v>49.75</v>
      </c>
    </row>
    <row r="15" spans="1:13" ht="14.4">
      <c r="A15" s="5" t="s">
        <v>958</v>
      </c>
      <c r="B15" s="4">
        <v>43973</v>
      </c>
      <c r="C15" s="5" t="s">
        <v>88</v>
      </c>
      <c r="D15" s="6" t="s">
        <v>959</v>
      </c>
      <c r="E15" s="5">
        <v>2</v>
      </c>
      <c r="F15" t="str">
        <f>_xlfn.XLOOKUP(C15,customer_data!$B$1:$B$165,customer_data!$C$1:$C$165,,0)</f>
        <v>Terence Vanyutin</v>
      </c>
      <c r="G15" t="str">
        <f>IF(_xlfn.XLOOKUP(C15,customer_data!$B$1:$B$165,customer_data!$D$1:$D$165,,0)=0,"",_xlfn.XLOOKUP(C15,customer_data!$B$1:$B$165,customer_data!$D$1:$D$165,,0))</f>
        <v>tvanyutind@wix.com</v>
      </c>
      <c r="H15" t="str">
        <f>_xlfn.XLOOKUP(C15,customer_data!$B$1:$B$165,customer_data!$H$1:$H$165,,0)</f>
        <v>United States</v>
      </c>
      <c r="I15" t="str">
        <f>INDEX(Product_data!$A$1:$G$49,MATCH(order_data!$D15,Product_data!$A$1:$A$49,0),MATCH(order_data!I$1,Product_data!$A$1:$G$1,0))</f>
        <v>Robusta</v>
      </c>
      <c r="J15" t="str">
        <f>INDEX(Product_data!$A$1:$G$49,MATCH(order_data!$D15,Product_data!$A$1:$A$49,0),MATCH(order_data!J$1,Product_data!$A$1:$G$1,0))</f>
        <v>Dark Roast</v>
      </c>
      <c r="K15">
        <f>INDEX(Product_data!$A$1:$G$49,MATCH(order_data!$D15,Product_data!$A$1:$A$49,0),MATCH(order_data!K$1,Product_data!$A$1:$G$1,0))</f>
        <v>2.5</v>
      </c>
      <c r="L15">
        <f>INDEX(Product_data!$A$1:$G$49,MATCH(order_data!$D15,Product_data!$A$1:$A$49,0),MATCH(order_data!L$1,Product_data!$A$1:$G$1,0))</f>
        <v>20.584999999999997</v>
      </c>
      <c r="M15">
        <f t="shared" si="0"/>
        <v>41.169999999999995</v>
      </c>
    </row>
    <row r="16" spans="1:13" ht="14.4">
      <c r="A16" s="5" t="s">
        <v>960</v>
      </c>
      <c r="B16" s="4">
        <v>44656</v>
      </c>
      <c r="C16" s="5" t="s">
        <v>93</v>
      </c>
      <c r="D16" s="6" t="s">
        <v>961</v>
      </c>
      <c r="E16" s="5">
        <v>3</v>
      </c>
      <c r="F16" t="str">
        <f>_xlfn.XLOOKUP(C16,customer_data!$B$1:$B$165,customer_data!$C$1:$C$165,,0)</f>
        <v>Patrice Trobe</v>
      </c>
      <c r="G16" t="str">
        <f>IF(_xlfn.XLOOKUP(C16,customer_data!$B$1:$B$165,customer_data!$D$1:$D$165,,0)=0,"",_xlfn.XLOOKUP(C16,customer_data!$B$1:$B$165,customer_data!$D$1:$D$165,,0))</f>
        <v>ptrobee@wunderground.com</v>
      </c>
      <c r="H16" t="str">
        <f>_xlfn.XLOOKUP(C16,customer_data!$B$1:$B$165,customer_data!$H$1:$H$165,,0)</f>
        <v>United States</v>
      </c>
      <c r="I16" t="str">
        <f>INDEX(Product_data!$A$1:$G$49,MATCH(order_data!$D16,Product_data!$A$1:$A$49,0),MATCH(order_data!I$1,Product_data!$A$1:$G$1,0))</f>
        <v>Liberica</v>
      </c>
      <c r="J16" t="str">
        <f>INDEX(Product_data!$A$1:$G$49,MATCH(order_data!$D16,Product_data!$A$1:$A$49,0),MATCH(order_data!J$1,Product_data!$A$1:$G$1,0))</f>
        <v>Dark Roast</v>
      </c>
      <c r="K16">
        <f>INDEX(Product_data!$A$1:$G$49,MATCH(order_data!$D16,Product_data!$A$1:$A$49,0),MATCH(order_data!K$1,Product_data!$A$1:$G$1,0))</f>
        <v>0.2</v>
      </c>
      <c r="L16">
        <f>INDEX(Product_data!$A$1:$G$49,MATCH(order_data!$D16,Product_data!$A$1:$A$49,0),MATCH(order_data!L$1,Product_data!$A$1:$G$1,0))</f>
        <v>3.8849999999999998</v>
      </c>
      <c r="M16">
        <f t="shared" si="0"/>
        <v>11.654999999999999</v>
      </c>
    </row>
    <row r="17" spans="1:13" ht="14.4">
      <c r="A17" s="5" t="s">
        <v>962</v>
      </c>
      <c r="B17" s="4">
        <v>44719</v>
      </c>
      <c r="C17" s="5" t="s">
        <v>99</v>
      </c>
      <c r="D17" s="6" t="s">
        <v>963</v>
      </c>
      <c r="E17" s="5">
        <v>5</v>
      </c>
      <c r="F17" t="str">
        <f>_xlfn.XLOOKUP(C17,customer_data!$B$1:$B$165,customer_data!$C$1:$C$165,,0)</f>
        <v>Llywellyn Oscroft</v>
      </c>
      <c r="G17" t="str">
        <f>IF(_xlfn.XLOOKUP(C17,customer_data!$B$1:$B$165,customer_data!$D$1:$D$165,,0)=0,"",_xlfn.XLOOKUP(C17,customer_data!$B$1:$B$165,customer_data!$D$1:$D$165,,0))</f>
        <v>loscroftf@ebay.co.uk</v>
      </c>
      <c r="H17" t="str">
        <f>_xlfn.XLOOKUP(C17,customer_data!$B$1:$B$165,customer_data!$H$1:$H$165,,0)</f>
        <v>United States</v>
      </c>
      <c r="I17" t="str">
        <f>INDEX(Product_data!$A$1:$G$49,MATCH(order_data!$D17,Product_data!$A$1:$A$49,0),MATCH(order_data!I$1,Product_data!$A$1:$G$1,0))</f>
        <v>Robusta</v>
      </c>
      <c r="J17" t="str">
        <f>INDEX(Product_data!$A$1:$G$49,MATCH(order_data!$D17,Product_data!$A$1:$A$49,0),MATCH(order_data!J$1,Product_data!$A$1:$G$1,0))</f>
        <v>Medium Roast</v>
      </c>
      <c r="K17">
        <f>INDEX(Product_data!$A$1:$G$49,MATCH(order_data!$D17,Product_data!$A$1:$A$49,0),MATCH(order_data!K$1,Product_data!$A$1:$G$1,0))</f>
        <v>2.5</v>
      </c>
      <c r="L17">
        <f>INDEX(Product_data!$A$1:$G$49,MATCH(order_data!$D17,Product_data!$A$1:$A$49,0),MATCH(order_data!L$1,Product_data!$A$1:$G$1,0))</f>
        <v>22.884999999999998</v>
      </c>
      <c r="M17">
        <f t="shared" si="0"/>
        <v>114.42499999999998</v>
      </c>
    </row>
    <row r="18" spans="1:13" ht="14.4">
      <c r="A18" s="5" t="s">
        <v>964</v>
      </c>
      <c r="B18" s="4">
        <v>43544</v>
      </c>
      <c r="C18" s="5" t="s">
        <v>104</v>
      </c>
      <c r="D18" s="6" t="s">
        <v>965</v>
      </c>
      <c r="E18" s="5">
        <v>6</v>
      </c>
      <c r="F18" t="str">
        <f>_xlfn.XLOOKUP(C18,customer_data!$B$1:$B$165,customer_data!$C$1:$C$165,,0)</f>
        <v>Minni Alabaster</v>
      </c>
      <c r="G18" t="str">
        <f>IF(_xlfn.XLOOKUP(C18,customer_data!$B$1:$B$165,customer_data!$D$1:$D$165,,0)=0,"",_xlfn.XLOOKUP(C18,customer_data!$B$1:$B$165,customer_data!$D$1:$D$165,,0))</f>
        <v>malabasterg@hexun.com</v>
      </c>
      <c r="H18" t="str">
        <f>_xlfn.XLOOKUP(C18,customer_data!$B$1:$B$165,customer_data!$H$1:$H$165,,0)</f>
        <v>United States</v>
      </c>
      <c r="I18" t="str">
        <f>INDEX(Product_data!$A$1:$G$49,MATCH(order_data!$D18,Product_data!$A$1:$A$49,0),MATCH(order_data!I$1,Product_data!$A$1:$G$1,0))</f>
        <v>Arabica</v>
      </c>
      <c r="J18" t="str">
        <f>INDEX(Product_data!$A$1:$G$49,MATCH(order_data!$D18,Product_data!$A$1:$A$49,0),MATCH(order_data!J$1,Product_data!$A$1:$G$1,0))</f>
        <v>Medium Roast</v>
      </c>
      <c r="K18">
        <f>INDEX(Product_data!$A$1:$G$49,MATCH(order_data!$D18,Product_data!$A$1:$A$49,0),MATCH(order_data!K$1,Product_data!$A$1:$G$1,0))</f>
        <v>0.2</v>
      </c>
      <c r="L18">
        <f>INDEX(Product_data!$A$1:$G$49,MATCH(order_data!$D18,Product_data!$A$1:$A$49,0),MATCH(order_data!L$1,Product_data!$A$1:$G$1,0))</f>
        <v>3.375</v>
      </c>
      <c r="M18">
        <f t="shared" si="0"/>
        <v>20.25</v>
      </c>
    </row>
    <row r="19" spans="1:13" ht="14.4">
      <c r="A19" s="5" t="s">
        <v>966</v>
      </c>
      <c r="B19" s="4">
        <v>43757</v>
      </c>
      <c r="C19" s="5" t="s">
        <v>110</v>
      </c>
      <c r="D19" s="6" t="s">
        <v>940</v>
      </c>
      <c r="E19" s="5">
        <v>6</v>
      </c>
      <c r="F19" t="str">
        <f>_xlfn.XLOOKUP(C19,customer_data!$B$1:$B$165,customer_data!$C$1:$C$165,,0)</f>
        <v>Rhianon Broxup</v>
      </c>
      <c r="G19" t="str">
        <f>IF(_xlfn.XLOOKUP(C19,customer_data!$B$1:$B$165,customer_data!$D$1:$D$165,,0)=0,"",_xlfn.XLOOKUP(C19,customer_data!$B$1:$B$165,customer_data!$D$1:$D$165,,0))</f>
        <v>rbroxuph@jimdo.com</v>
      </c>
      <c r="H19" t="str">
        <f>_xlfn.XLOOKUP(C19,customer_data!$B$1:$B$165,customer_data!$H$1:$H$165,,0)</f>
        <v>United States</v>
      </c>
      <c r="I19" t="str">
        <f>INDEX(Product_data!$A$1:$G$49,MATCH(order_data!$D19,Product_data!$A$1:$A$49,0),MATCH(order_data!I$1,Product_data!$A$1:$G$1,0))</f>
        <v>Arabica</v>
      </c>
      <c r="J19" t="str">
        <f>INDEX(Product_data!$A$1:$G$49,MATCH(order_data!$D19,Product_data!$A$1:$A$49,0),MATCH(order_data!J$1,Product_data!$A$1:$G$1,0))</f>
        <v>Light Roast</v>
      </c>
      <c r="K19">
        <f>INDEX(Product_data!$A$1:$G$49,MATCH(order_data!$D19,Product_data!$A$1:$A$49,0),MATCH(order_data!K$1,Product_data!$A$1:$G$1,0))</f>
        <v>1</v>
      </c>
      <c r="L19">
        <f>INDEX(Product_data!$A$1:$G$49,MATCH(order_data!$D19,Product_data!$A$1:$A$49,0),MATCH(order_data!L$1,Product_data!$A$1:$G$1,0))</f>
        <v>12.95</v>
      </c>
      <c r="M19">
        <f t="shared" si="0"/>
        <v>77.699999999999989</v>
      </c>
    </row>
    <row r="20" spans="1:13" ht="14.4">
      <c r="A20" s="5" t="s">
        <v>967</v>
      </c>
      <c r="B20" s="4">
        <v>43629</v>
      </c>
      <c r="C20" s="5" t="s">
        <v>116</v>
      </c>
      <c r="D20" s="6" t="s">
        <v>959</v>
      </c>
      <c r="E20" s="5">
        <v>4</v>
      </c>
      <c r="F20" t="str">
        <f>_xlfn.XLOOKUP(C20,customer_data!$B$1:$B$165,customer_data!$C$1:$C$165,,0)</f>
        <v>Pall Redford</v>
      </c>
      <c r="G20" t="str">
        <f>IF(_xlfn.XLOOKUP(C20,customer_data!$B$1:$B$165,customer_data!$D$1:$D$165,,0)=0,"",_xlfn.XLOOKUP(C20,customer_data!$B$1:$B$165,customer_data!$D$1:$D$165,,0))</f>
        <v>predfordi@ow.ly</v>
      </c>
      <c r="H20" t="str">
        <f>_xlfn.XLOOKUP(C20,customer_data!$B$1:$B$165,customer_data!$H$1:$H$165,,0)</f>
        <v>Ireland</v>
      </c>
      <c r="I20" t="str">
        <f>INDEX(Product_data!$A$1:$G$49,MATCH(order_data!$D20,Product_data!$A$1:$A$49,0),MATCH(order_data!I$1,Product_data!$A$1:$G$1,0))</f>
        <v>Robusta</v>
      </c>
      <c r="J20" t="str">
        <f>INDEX(Product_data!$A$1:$G$49,MATCH(order_data!$D20,Product_data!$A$1:$A$49,0),MATCH(order_data!J$1,Product_data!$A$1:$G$1,0))</f>
        <v>Dark Roast</v>
      </c>
      <c r="K20">
        <f>INDEX(Product_data!$A$1:$G$49,MATCH(order_data!$D20,Product_data!$A$1:$A$49,0),MATCH(order_data!K$1,Product_data!$A$1:$G$1,0))</f>
        <v>2.5</v>
      </c>
      <c r="L20">
        <f>INDEX(Product_data!$A$1:$G$49,MATCH(order_data!$D20,Product_data!$A$1:$A$49,0),MATCH(order_data!L$1,Product_data!$A$1:$G$1,0))</f>
        <v>20.584999999999997</v>
      </c>
      <c r="M20">
        <f t="shared" si="0"/>
        <v>82.339999999999989</v>
      </c>
    </row>
    <row r="21" spans="1:13" ht="14.4">
      <c r="A21" s="5" t="s">
        <v>968</v>
      </c>
      <c r="B21" s="4">
        <v>44169</v>
      </c>
      <c r="C21" s="5" t="s">
        <v>122</v>
      </c>
      <c r="D21" s="6" t="s">
        <v>965</v>
      </c>
      <c r="E21" s="5">
        <v>5</v>
      </c>
      <c r="F21" t="str">
        <f>_xlfn.XLOOKUP(C21,customer_data!$B$1:$B$165,customer_data!$C$1:$C$165,,0)</f>
        <v>Aurea Corradino</v>
      </c>
      <c r="G21" t="str">
        <f>IF(_xlfn.XLOOKUP(C21,customer_data!$B$1:$B$165,customer_data!$D$1:$D$165,,0)=0,"",_xlfn.XLOOKUP(C21,customer_data!$B$1:$B$165,customer_data!$D$1:$D$165,,0))</f>
        <v>acorradinoj@harvard.edu</v>
      </c>
      <c r="H21" t="str">
        <f>_xlfn.XLOOKUP(C21,customer_data!$B$1:$B$165,customer_data!$H$1:$H$165,,0)</f>
        <v>United States</v>
      </c>
      <c r="I21" t="str">
        <f>INDEX(Product_data!$A$1:$G$49,MATCH(order_data!$D21,Product_data!$A$1:$A$49,0),MATCH(order_data!I$1,Product_data!$A$1:$G$1,0))</f>
        <v>Arabica</v>
      </c>
      <c r="J21" t="str">
        <f>INDEX(Product_data!$A$1:$G$49,MATCH(order_data!$D21,Product_data!$A$1:$A$49,0),MATCH(order_data!J$1,Product_data!$A$1:$G$1,0))</f>
        <v>Medium Roast</v>
      </c>
      <c r="K21">
        <f>INDEX(Product_data!$A$1:$G$49,MATCH(order_data!$D21,Product_data!$A$1:$A$49,0),MATCH(order_data!K$1,Product_data!$A$1:$G$1,0))</f>
        <v>0.2</v>
      </c>
      <c r="L21">
        <f>INDEX(Product_data!$A$1:$G$49,MATCH(order_data!$D21,Product_data!$A$1:$A$49,0),MATCH(order_data!L$1,Product_data!$A$1:$G$1,0))</f>
        <v>3.375</v>
      </c>
      <c r="M21">
        <f t="shared" si="0"/>
        <v>16.875</v>
      </c>
    </row>
    <row r="22" spans="1:13" ht="14.4">
      <c r="A22" s="5" t="s">
        <v>968</v>
      </c>
      <c r="B22" s="4">
        <v>44169</v>
      </c>
      <c r="C22" s="5" t="s">
        <v>122</v>
      </c>
      <c r="D22" s="6" t="s">
        <v>969</v>
      </c>
      <c r="E22" s="5">
        <v>4</v>
      </c>
      <c r="F22" t="str">
        <f>_xlfn.XLOOKUP(C22,customer_data!$B$1:$B$165,customer_data!$C$1:$C$165,,0)</f>
        <v>Aurea Corradino</v>
      </c>
      <c r="G22" t="str">
        <f>IF(_xlfn.XLOOKUP(C22,customer_data!$B$1:$B$165,customer_data!$D$1:$D$165,,0)=0,"",_xlfn.XLOOKUP(C22,customer_data!$B$1:$B$165,customer_data!$D$1:$D$165,,0))</f>
        <v>acorradinoj@harvard.edu</v>
      </c>
      <c r="H22" t="str">
        <f>_xlfn.XLOOKUP(C22,customer_data!$B$1:$B$165,customer_data!$H$1:$H$165,,0)</f>
        <v>United States</v>
      </c>
      <c r="I22" t="str">
        <f>INDEX(Product_data!$A$1:$G$49,MATCH(order_data!$D22,Product_data!$A$1:$A$49,0),MATCH(order_data!I$1,Product_data!$A$1:$G$1,0))</f>
        <v>Excelsa</v>
      </c>
      <c r="J22" t="str">
        <f>INDEX(Product_data!$A$1:$G$49,MATCH(order_data!$D22,Product_data!$A$1:$A$49,0),MATCH(order_data!J$1,Product_data!$A$1:$G$1,0))</f>
        <v>Dark Roast</v>
      </c>
      <c r="K22">
        <f>INDEX(Product_data!$A$1:$G$49,MATCH(order_data!$D22,Product_data!$A$1:$A$49,0),MATCH(order_data!K$1,Product_data!$A$1:$G$1,0))</f>
        <v>0.2</v>
      </c>
      <c r="L22">
        <f>INDEX(Product_data!$A$1:$G$49,MATCH(order_data!$D22,Product_data!$A$1:$A$49,0),MATCH(order_data!L$1,Product_data!$A$1:$G$1,0))</f>
        <v>3.645</v>
      </c>
      <c r="M22">
        <f t="shared" si="0"/>
        <v>14.58</v>
      </c>
    </row>
    <row r="23" spans="1:13" ht="14.4">
      <c r="A23" s="5" t="s">
        <v>970</v>
      </c>
      <c r="B23" s="4">
        <v>44169</v>
      </c>
      <c r="C23" s="5" t="s">
        <v>134</v>
      </c>
      <c r="D23" s="6" t="s">
        <v>971</v>
      </c>
      <c r="E23" s="5">
        <v>6</v>
      </c>
      <c r="F23" t="str">
        <f>_xlfn.XLOOKUP(C23,customer_data!$B$1:$B$165,customer_data!$C$1:$C$165,,0)</f>
        <v>Avrit Davidowsky</v>
      </c>
      <c r="G23" t="str">
        <f>IF(_xlfn.XLOOKUP(C23,customer_data!$B$1:$B$165,customer_data!$D$1:$D$165,,0)=0,"",_xlfn.XLOOKUP(C23,customer_data!$B$1:$B$165,customer_data!$D$1:$D$165,,0))</f>
        <v>adavidowskyl@netvibes.com</v>
      </c>
      <c r="H23" t="str">
        <f>_xlfn.XLOOKUP(C23,customer_data!$B$1:$B$165,customer_data!$H$1:$H$165,,0)</f>
        <v>United States</v>
      </c>
      <c r="I23" t="str">
        <f>INDEX(Product_data!$A$1:$G$49,MATCH(order_data!$D23,Product_data!$A$1:$A$49,0),MATCH(order_data!I$1,Product_data!$A$1:$G$1,0))</f>
        <v>Arabica</v>
      </c>
      <c r="J23" t="str">
        <f>INDEX(Product_data!$A$1:$G$49,MATCH(order_data!$D23,Product_data!$A$1:$A$49,0),MATCH(order_data!J$1,Product_data!$A$1:$G$1,0))</f>
        <v>Dark Roast</v>
      </c>
      <c r="K23">
        <f>INDEX(Product_data!$A$1:$G$49,MATCH(order_data!$D23,Product_data!$A$1:$A$49,0),MATCH(order_data!K$1,Product_data!$A$1:$G$1,0))</f>
        <v>0.2</v>
      </c>
      <c r="L23">
        <f>INDEX(Product_data!$A$1:$G$49,MATCH(order_data!$D23,Product_data!$A$1:$A$49,0),MATCH(order_data!L$1,Product_data!$A$1:$G$1,0))</f>
        <v>2.9849999999999999</v>
      </c>
      <c r="M23">
        <f t="shared" si="0"/>
        <v>17.91</v>
      </c>
    </row>
    <row r="24" spans="1:13" ht="14.4">
      <c r="A24" s="5" t="s">
        <v>972</v>
      </c>
      <c r="B24" s="4">
        <v>44218</v>
      </c>
      <c r="C24" s="5" t="s">
        <v>140</v>
      </c>
      <c r="D24" s="6" t="s">
        <v>963</v>
      </c>
      <c r="E24" s="5">
        <v>4</v>
      </c>
      <c r="F24" t="str">
        <f>_xlfn.XLOOKUP(C24,customer_data!$B$1:$B$165,customer_data!$C$1:$C$165,,0)</f>
        <v>Annabel Antuk</v>
      </c>
      <c r="G24" t="str">
        <f>IF(_xlfn.XLOOKUP(C24,customer_data!$B$1:$B$165,customer_data!$D$1:$D$165,,0)=0,"",_xlfn.XLOOKUP(C24,customer_data!$B$1:$B$165,customer_data!$D$1:$D$165,,0))</f>
        <v>aantukm@kickstarter.com</v>
      </c>
      <c r="H24" t="str">
        <f>_xlfn.XLOOKUP(C24,customer_data!$B$1:$B$165,customer_data!$H$1:$H$165,,0)</f>
        <v>United States</v>
      </c>
      <c r="I24" t="str">
        <f>INDEX(Product_data!$A$1:$G$49,MATCH(order_data!$D24,Product_data!$A$1:$A$49,0),MATCH(order_data!I$1,Product_data!$A$1:$G$1,0))</f>
        <v>Robusta</v>
      </c>
      <c r="J24" t="str">
        <f>INDEX(Product_data!$A$1:$G$49,MATCH(order_data!$D24,Product_data!$A$1:$A$49,0),MATCH(order_data!J$1,Product_data!$A$1:$G$1,0))</f>
        <v>Medium Roast</v>
      </c>
      <c r="K24">
        <f>INDEX(Product_data!$A$1:$G$49,MATCH(order_data!$D24,Product_data!$A$1:$A$49,0),MATCH(order_data!K$1,Product_data!$A$1:$G$1,0))</f>
        <v>2.5</v>
      </c>
      <c r="L24">
        <f>INDEX(Product_data!$A$1:$G$49,MATCH(order_data!$D24,Product_data!$A$1:$A$49,0),MATCH(order_data!L$1,Product_data!$A$1:$G$1,0))</f>
        <v>22.884999999999998</v>
      </c>
      <c r="M24">
        <f t="shared" si="0"/>
        <v>91.539999999999992</v>
      </c>
    </row>
    <row r="25" spans="1:13" ht="14.4">
      <c r="A25" s="5" t="s">
        <v>973</v>
      </c>
      <c r="B25" s="4">
        <v>44603</v>
      </c>
      <c r="C25" s="5" t="s">
        <v>146</v>
      </c>
      <c r="D25" s="6" t="s">
        <v>971</v>
      </c>
      <c r="E25" s="5">
        <v>4</v>
      </c>
      <c r="F25" t="str">
        <f>_xlfn.XLOOKUP(C25,customer_data!$B$1:$B$165,customer_data!$C$1:$C$165,,0)</f>
        <v>Iorgo Kleinert</v>
      </c>
      <c r="G25" t="str">
        <f>IF(_xlfn.XLOOKUP(C25,customer_data!$B$1:$B$165,customer_data!$D$1:$D$165,,0)=0,"",_xlfn.XLOOKUP(C25,customer_data!$B$1:$B$165,customer_data!$D$1:$D$165,,0))</f>
        <v>ikleinertn@timesonline.co.uk</v>
      </c>
      <c r="H25" t="str">
        <f>_xlfn.XLOOKUP(C25,customer_data!$B$1:$B$165,customer_data!$H$1:$H$165,,0)</f>
        <v>United States</v>
      </c>
      <c r="I25" t="str">
        <f>INDEX(Product_data!$A$1:$G$49,MATCH(order_data!$D25,Product_data!$A$1:$A$49,0),MATCH(order_data!I$1,Product_data!$A$1:$G$1,0))</f>
        <v>Arabica</v>
      </c>
      <c r="J25" t="str">
        <f>INDEX(Product_data!$A$1:$G$49,MATCH(order_data!$D25,Product_data!$A$1:$A$49,0),MATCH(order_data!J$1,Product_data!$A$1:$G$1,0))</f>
        <v>Dark Roast</v>
      </c>
      <c r="K25">
        <f>INDEX(Product_data!$A$1:$G$49,MATCH(order_data!$D25,Product_data!$A$1:$A$49,0),MATCH(order_data!K$1,Product_data!$A$1:$G$1,0))</f>
        <v>0.2</v>
      </c>
      <c r="L25">
        <f>INDEX(Product_data!$A$1:$G$49,MATCH(order_data!$D25,Product_data!$A$1:$A$49,0),MATCH(order_data!L$1,Product_data!$A$1:$G$1,0))</f>
        <v>2.9849999999999999</v>
      </c>
      <c r="M25">
        <f t="shared" si="0"/>
        <v>11.94</v>
      </c>
    </row>
    <row r="26" spans="1:13" ht="14.4">
      <c r="A26" s="5" t="s">
        <v>974</v>
      </c>
      <c r="B26" s="4">
        <v>44454</v>
      </c>
      <c r="C26" s="5" t="s">
        <v>152</v>
      </c>
      <c r="D26" s="6" t="s">
        <v>975</v>
      </c>
      <c r="E26" s="5">
        <v>1</v>
      </c>
      <c r="F26" t="str">
        <f>_xlfn.XLOOKUP(C26,customer_data!$B$1:$B$165,customer_data!$C$1:$C$165,,0)</f>
        <v>Chrisy Blofeld</v>
      </c>
      <c r="G26" t="str">
        <f>IF(_xlfn.XLOOKUP(C26,customer_data!$B$1:$B$165,customer_data!$D$1:$D$165,,0)=0,"",_xlfn.XLOOKUP(C26,customer_data!$B$1:$B$165,customer_data!$D$1:$D$165,,0))</f>
        <v>cblofeldo@amazon.co.uk</v>
      </c>
      <c r="H26" t="str">
        <f>_xlfn.XLOOKUP(C26,customer_data!$B$1:$B$165,customer_data!$H$1:$H$165,,0)</f>
        <v>United States</v>
      </c>
      <c r="I26" t="str">
        <f>INDEX(Product_data!$A$1:$G$49,MATCH(order_data!$D26,Product_data!$A$1:$A$49,0),MATCH(order_data!I$1,Product_data!$A$1:$G$1,0))</f>
        <v>Arabica</v>
      </c>
      <c r="J26" t="str">
        <f>INDEX(Product_data!$A$1:$G$49,MATCH(order_data!$D26,Product_data!$A$1:$A$49,0),MATCH(order_data!J$1,Product_data!$A$1:$G$1,0))</f>
        <v>Medium Roast</v>
      </c>
      <c r="K26">
        <f>INDEX(Product_data!$A$1:$G$49,MATCH(order_data!$D26,Product_data!$A$1:$A$49,0),MATCH(order_data!K$1,Product_data!$A$1:$G$1,0))</f>
        <v>1</v>
      </c>
      <c r="L26">
        <f>INDEX(Product_data!$A$1:$G$49,MATCH(order_data!$D26,Product_data!$A$1:$A$49,0),MATCH(order_data!L$1,Product_data!$A$1:$G$1,0))</f>
        <v>11.25</v>
      </c>
      <c r="M26">
        <f t="shared" si="0"/>
        <v>11.25</v>
      </c>
    </row>
    <row r="27" spans="1:13" ht="14.4">
      <c r="A27" s="5" t="s">
        <v>976</v>
      </c>
      <c r="B27" s="4">
        <v>44128</v>
      </c>
      <c r="C27" s="5" t="s">
        <v>158</v>
      </c>
      <c r="D27" s="6" t="s">
        <v>977</v>
      </c>
      <c r="E27" s="5">
        <v>3</v>
      </c>
      <c r="F27" t="str">
        <f>_xlfn.XLOOKUP(C27,customer_data!$B$1:$B$165,customer_data!$C$1:$C$165,,0)</f>
        <v>Culley Farris</v>
      </c>
      <c r="G27" t="str">
        <f>IF(_xlfn.XLOOKUP(C27,customer_data!$B$1:$B$165,customer_data!$D$1:$D$165,,0)=0,"",_xlfn.XLOOKUP(C27,customer_data!$B$1:$B$165,customer_data!$D$1:$D$165,,0))</f>
        <v/>
      </c>
      <c r="H27" t="str">
        <f>_xlfn.XLOOKUP(C27,customer_data!$B$1:$B$165,customer_data!$H$1:$H$165,,0)</f>
        <v>United States</v>
      </c>
      <c r="I27" t="str">
        <f>INDEX(Product_data!$A$1:$G$49,MATCH(order_data!$D27,Product_data!$A$1:$A$49,0),MATCH(order_data!I$1,Product_data!$A$1:$G$1,0))</f>
        <v>Excelsa</v>
      </c>
      <c r="J27" t="str">
        <f>INDEX(Product_data!$A$1:$G$49,MATCH(order_data!$D27,Product_data!$A$1:$A$49,0),MATCH(order_data!J$1,Product_data!$A$1:$G$1,0))</f>
        <v>Medium Roast</v>
      </c>
      <c r="K27">
        <f>INDEX(Product_data!$A$1:$G$49,MATCH(order_data!$D27,Product_data!$A$1:$A$49,0),MATCH(order_data!K$1,Product_data!$A$1:$G$1,0))</f>
        <v>0.2</v>
      </c>
      <c r="L27">
        <f>INDEX(Product_data!$A$1:$G$49,MATCH(order_data!$D27,Product_data!$A$1:$A$49,0),MATCH(order_data!L$1,Product_data!$A$1:$G$1,0))</f>
        <v>4.125</v>
      </c>
      <c r="M27">
        <f t="shared" si="0"/>
        <v>12.375</v>
      </c>
    </row>
    <row r="28" spans="1:13" ht="14.4">
      <c r="A28" s="5" t="s">
        <v>978</v>
      </c>
      <c r="B28" s="4">
        <v>43516</v>
      </c>
      <c r="C28" s="5" t="s">
        <v>162</v>
      </c>
      <c r="D28" s="6" t="s">
        <v>979</v>
      </c>
      <c r="E28" s="5">
        <v>4</v>
      </c>
      <c r="F28" t="str">
        <f>_xlfn.XLOOKUP(C28,customer_data!$B$1:$B$165,customer_data!$C$1:$C$165,,0)</f>
        <v>Selene Shales</v>
      </c>
      <c r="G28" t="str">
        <f>IF(_xlfn.XLOOKUP(C28,customer_data!$B$1:$B$165,customer_data!$D$1:$D$165,,0)=0,"",_xlfn.XLOOKUP(C28,customer_data!$B$1:$B$165,customer_data!$D$1:$D$165,,0))</f>
        <v>sshalesq@umich.edu</v>
      </c>
      <c r="H28" t="str">
        <f>_xlfn.XLOOKUP(C28,customer_data!$B$1:$B$165,customer_data!$H$1:$H$165,,0)</f>
        <v>United States</v>
      </c>
      <c r="I28" t="str">
        <f>INDEX(Product_data!$A$1:$G$49,MATCH(order_data!$D28,Product_data!$A$1:$A$49,0),MATCH(order_data!I$1,Product_data!$A$1:$G$1,0))</f>
        <v>Arabica</v>
      </c>
      <c r="J28" t="str">
        <f>INDEX(Product_data!$A$1:$G$49,MATCH(order_data!$D28,Product_data!$A$1:$A$49,0),MATCH(order_data!J$1,Product_data!$A$1:$G$1,0))</f>
        <v>Medium Roast</v>
      </c>
      <c r="K28">
        <f>INDEX(Product_data!$A$1:$G$49,MATCH(order_data!$D28,Product_data!$A$1:$A$49,0),MATCH(order_data!K$1,Product_data!$A$1:$G$1,0))</f>
        <v>0.5</v>
      </c>
      <c r="L28">
        <f>INDEX(Product_data!$A$1:$G$49,MATCH(order_data!$D28,Product_data!$A$1:$A$49,0),MATCH(order_data!L$1,Product_data!$A$1:$G$1,0))</f>
        <v>6.75</v>
      </c>
      <c r="M28">
        <f t="shared" si="0"/>
        <v>27</v>
      </c>
    </row>
    <row r="29" spans="1:13" ht="14.4">
      <c r="A29" s="5" t="s">
        <v>980</v>
      </c>
      <c r="B29" s="4">
        <v>43746</v>
      </c>
      <c r="C29" s="5" t="s">
        <v>168</v>
      </c>
      <c r="D29" s="6" t="s">
        <v>965</v>
      </c>
      <c r="E29" s="5">
        <v>5</v>
      </c>
      <c r="F29" t="str">
        <f>_xlfn.XLOOKUP(C29,customer_data!$B$1:$B$165,customer_data!$C$1:$C$165,,0)</f>
        <v>Vivie Danneil</v>
      </c>
      <c r="G29" t="str">
        <f>IF(_xlfn.XLOOKUP(C29,customer_data!$B$1:$B$165,customer_data!$D$1:$D$165,,0)=0,"",_xlfn.XLOOKUP(C29,customer_data!$B$1:$B$165,customer_data!$D$1:$D$165,,0))</f>
        <v>vdanneilr@mtv.com</v>
      </c>
      <c r="H29" t="str">
        <f>_xlfn.XLOOKUP(C29,customer_data!$B$1:$B$165,customer_data!$H$1:$H$165,,0)</f>
        <v>Ireland</v>
      </c>
      <c r="I29" t="str">
        <f>INDEX(Product_data!$A$1:$G$49,MATCH(order_data!$D29,Product_data!$A$1:$A$49,0),MATCH(order_data!I$1,Product_data!$A$1:$G$1,0))</f>
        <v>Arabica</v>
      </c>
      <c r="J29" t="str">
        <f>INDEX(Product_data!$A$1:$G$49,MATCH(order_data!$D29,Product_data!$A$1:$A$49,0),MATCH(order_data!J$1,Product_data!$A$1:$G$1,0))</f>
        <v>Medium Roast</v>
      </c>
      <c r="K29">
        <f>INDEX(Product_data!$A$1:$G$49,MATCH(order_data!$D29,Product_data!$A$1:$A$49,0),MATCH(order_data!K$1,Product_data!$A$1:$G$1,0))</f>
        <v>0.2</v>
      </c>
      <c r="L29">
        <f>INDEX(Product_data!$A$1:$G$49,MATCH(order_data!$D29,Product_data!$A$1:$A$49,0),MATCH(order_data!L$1,Product_data!$A$1:$G$1,0))</f>
        <v>3.375</v>
      </c>
      <c r="M29">
        <f t="shared" si="0"/>
        <v>16.875</v>
      </c>
    </row>
    <row r="30" spans="1:13" ht="14.4">
      <c r="A30" s="5" t="s">
        <v>981</v>
      </c>
      <c r="B30" s="4">
        <v>44775</v>
      </c>
      <c r="C30" s="5" t="s">
        <v>175</v>
      </c>
      <c r="D30" s="6" t="s">
        <v>982</v>
      </c>
      <c r="E30" s="5">
        <v>3</v>
      </c>
      <c r="F30" t="str">
        <f>_xlfn.XLOOKUP(C30,customer_data!$B$1:$B$165,customer_data!$C$1:$C$165,,0)</f>
        <v>Theresita Newbury</v>
      </c>
      <c r="G30" t="str">
        <f>IF(_xlfn.XLOOKUP(C30,customer_data!$B$1:$B$165,customer_data!$D$1:$D$165,,0)=0,"",_xlfn.XLOOKUP(C30,customer_data!$B$1:$B$165,customer_data!$D$1:$D$165,,0))</f>
        <v>tnewburys@usda.gov</v>
      </c>
      <c r="H30" t="str">
        <f>_xlfn.XLOOKUP(C30,customer_data!$B$1:$B$165,customer_data!$H$1:$H$165,,0)</f>
        <v>Ireland</v>
      </c>
      <c r="I30" t="str">
        <f>INDEX(Product_data!$A$1:$G$49,MATCH(order_data!$D30,Product_data!$A$1:$A$49,0),MATCH(order_data!I$1,Product_data!$A$1:$G$1,0))</f>
        <v>Arabica</v>
      </c>
      <c r="J30" t="str">
        <f>INDEX(Product_data!$A$1:$G$49,MATCH(order_data!$D30,Product_data!$A$1:$A$49,0),MATCH(order_data!J$1,Product_data!$A$1:$G$1,0))</f>
        <v>Dark Roast</v>
      </c>
      <c r="K30">
        <f>INDEX(Product_data!$A$1:$G$49,MATCH(order_data!$D30,Product_data!$A$1:$A$49,0),MATCH(order_data!K$1,Product_data!$A$1:$G$1,0))</f>
        <v>0.5</v>
      </c>
      <c r="L30">
        <f>INDEX(Product_data!$A$1:$G$49,MATCH(order_data!$D30,Product_data!$A$1:$A$49,0),MATCH(order_data!L$1,Product_data!$A$1:$G$1,0))</f>
        <v>5.97</v>
      </c>
      <c r="M30">
        <f t="shared" si="0"/>
        <v>17.91</v>
      </c>
    </row>
    <row r="31" spans="1:13" ht="14.4">
      <c r="A31" s="5" t="s">
        <v>983</v>
      </c>
      <c r="B31" s="4">
        <v>43516</v>
      </c>
      <c r="C31" s="5" t="s">
        <v>182</v>
      </c>
      <c r="D31" s="6" t="s">
        <v>954</v>
      </c>
      <c r="E31" s="5">
        <v>4</v>
      </c>
      <c r="F31" t="str">
        <f>_xlfn.XLOOKUP(C31,customer_data!$B$1:$B$165,customer_data!$C$1:$C$165,,0)</f>
        <v>Mozelle Calcutt</v>
      </c>
      <c r="G31" t="str">
        <f>IF(_xlfn.XLOOKUP(C31,customer_data!$B$1:$B$165,customer_data!$D$1:$D$165,,0)=0,"",_xlfn.XLOOKUP(C31,customer_data!$B$1:$B$165,customer_data!$D$1:$D$165,,0))</f>
        <v>mcalcuttt@baidu.com</v>
      </c>
      <c r="H31" t="str">
        <f>_xlfn.XLOOKUP(C31,customer_data!$B$1:$B$165,customer_data!$H$1:$H$165,,0)</f>
        <v>Ireland</v>
      </c>
      <c r="I31" t="str">
        <f>INDEX(Product_data!$A$1:$G$49,MATCH(order_data!$D31,Product_data!$A$1:$A$49,0),MATCH(order_data!I$1,Product_data!$A$1:$G$1,0))</f>
        <v>Arabica</v>
      </c>
      <c r="J31" t="str">
        <f>INDEX(Product_data!$A$1:$G$49,MATCH(order_data!$D31,Product_data!$A$1:$A$49,0),MATCH(order_data!J$1,Product_data!$A$1:$G$1,0))</f>
        <v>Dark Roast</v>
      </c>
      <c r="K31">
        <f>INDEX(Product_data!$A$1:$G$49,MATCH(order_data!$D31,Product_data!$A$1:$A$49,0),MATCH(order_data!K$1,Product_data!$A$1:$G$1,0))</f>
        <v>1</v>
      </c>
      <c r="L31">
        <f>INDEX(Product_data!$A$1:$G$49,MATCH(order_data!$D31,Product_data!$A$1:$A$49,0),MATCH(order_data!L$1,Product_data!$A$1:$G$1,0))</f>
        <v>9.9499999999999993</v>
      </c>
      <c r="M31">
        <f t="shared" si="0"/>
        <v>39.799999999999997</v>
      </c>
    </row>
    <row r="32" spans="1:13" ht="14.4">
      <c r="A32" s="5" t="s">
        <v>984</v>
      </c>
      <c r="B32" s="4">
        <v>44464</v>
      </c>
      <c r="C32" s="5" t="s">
        <v>189</v>
      </c>
      <c r="D32" s="6" t="s">
        <v>985</v>
      </c>
      <c r="E32" s="5">
        <v>5</v>
      </c>
      <c r="F32" t="str">
        <f>_xlfn.XLOOKUP(C32,customer_data!$B$1:$B$165,customer_data!$C$1:$C$165,,0)</f>
        <v>Adrian Swaine</v>
      </c>
      <c r="G32" t="str">
        <f>IF(_xlfn.XLOOKUP(C32,customer_data!$B$1:$B$165,customer_data!$D$1:$D$165,,0)=0,"",_xlfn.XLOOKUP(C32,customer_data!$B$1:$B$165,customer_data!$D$1:$D$165,,0))</f>
        <v/>
      </c>
      <c r="H32" t="str">
        <f>_xlfn.XLOOKUP(C32,customer_data!$B$1:$B$165,customer_data!$H$1:$H$165,,0)</f>
        <v>United States</v>
      </c>
      <c r="I32" t="str">
        <f>INDEX(Product_data!$A$1:$G$49,MATCH(order_data!$D32,Product_data!$A$1:$A$49,0),MATCH(order_data!I$1,Product_data!$A$1:$G$1,0))</f>
        <v>Liberica</v>
      </c>
      <c r="J32" t="str">
        <f>INDEX(Product_data!$A$1:$G$49,MATCH(order_data!$D32,Product_data!$A$1:$A$49,0),MATCH(order_data!J$1,Product_data!$A$1:$G$1,0))</f>
        <v>Medium Roast</v>
      </c>
      <c r="K32">
        <f>INDEX(Product_data!$A$1:$G$49,MATCH(order_data!$D32,Product_data!$A$1:$A$49,0),MATCH(order_data!K$1,Product_data!$A$1:$G$1,0))</f>
        <v>0.2</v>
      </c>
      <c r="L32">
        <f>INDEX(Product_data!$A$1:$G$49,MATCH(order_data!$D32,Product_data!$A$1:$A$49,0),MATCH(order_data!L$1,Product_data!$A$1:$G$1,0))</f>
        <v>4.3650000000000002</v>
      </c>
      <c r="M32">
        <f t="shared" si="0"/>
        <v>21.825000000000003</v>
      </c>
    </row>
    <row r="33" spans="1:13" ht="14.4">
      <c r="A33" s="5" t="s">
        <v>984</v>
      </c>
      <c r="B33" s="4">
        <v>44464</v>
      </c>
      <c r="C33" s="5" t="s">
        <v>189</v>
      </c>
      <c r="D33" s="6" t="s">
        <v>982</v>
      </c>
      <c r="E33" s="5">
        <v>6</v>
      </c>
      <c r="F33" t="str">
        <f>_xlfn.XLOOKUP(C33,customer_data!$B$1:$B$165,customer_data!$C$1:$C$165,,0)</f>
        <v>Adrian Swaine</v>
      </c>
      <c r="G33" t="str">
        <f>IF(_xlfn.XLOOKUP(C33,customer_data!$B$1:$B$165,customer_data!$D$1:$D$165,,0)=0,"",_xlfn.XLOOKUP(C33,customer_data!$B$1:$B$165,customer_data!$D$1:$D$165,,0))</f>
        <v/>
      </c>
      <c r="H33" t="str">
        <f>_xlfn.XLOOKUP(C33,customer_data!$B$1:$B$165,customer_data!$H$1:$H$165,,0)</f>
        <v>United States</v>
      </c>
      <c r="I33" t="str">
        <f>INDEX(Product_data!$A$1:$G$49,MATCH(order_data!$D33,Product_data!$A$1:$A$49,0),MATCH(order_data!I$1,Product_data!$A$1:$G$1,0))</f>
        <v>Arabica</v>
      </c>
      <c r="J33" t="str">
        <f>INDEX(Product_data!$A$1:$G$49,MATCH(order_data!$D33,Product_data!$A$1:$A$49,0),MATCH(order_data!J$1,Product_data!$A$1:$G$1,0))</f>
        <v>Dark Roast</v>
      </c>
      <c r="K33">
        <f>INDEX(Product_data!$A$1:$G$49,MATCH(order_data!$D33,Product_data!$A$1:$A$49,0),MATCH(order_data!K$1,Product_data!$A$1:$G$1,0))</f>
        <v>0.5</v>
      </c>
      <c r="L33">
        <f>INDEX(Product_data!$A$1:$G$49,MATCH(order_data!$D33,Product_data!$A$1:$A$49,0),MATCH(order_data!L$1,Product_data!$A$1:$G$1,0))</f>
        <v>5.97</v>
      </c>
      <c r="M33">
        <f t="shared" si="0"/>
        <v>35.82</v>
      </c>
    </row>
    <row r="34" spans="1:13" ht="14.4">
      <c r="A34" s="5" t="s">
        <v>984</v>
      </c>
      <c r="B34" s="4">
        <v>44464</v>
      </c>
      <c r="C34" s="5" t="s">
        <v>189</v>
      </c>
      <c r="D34" s="6" t="s">
        <v>986</v>
      </c>
      <c r="E34" s="5">
        <v>6</v>
      </c>
      <c r="F34" t="str">
        <f>_xlfn.XLOOKUP(C34,customer_data!$B$1:$B$165,customer_data!$C$1:$C$165,,0)</f>
        <v>Adrian Swaine</v>
      </c>
      <c r="G34" t="str">
        <f>IF(_xlfn.XLOOKUP(C34,customer_data!$B$1:$B$165,customer_data!$D$1:$D$165,,0)=0,"",_xlfn.XLOOKUP(C34,customer_data!$B$1:$B$165,customer_data!$D$1:$D$165,,0))</f>
        <v/>
      </c>
      <c r="H34" t="str">
        <f>_xlfn.XLOOKUP(C34,customer_data!$B$1:$B$165,customer_data!$H$1:$H$165,,0)</f>
        <v>United States</v>
      </c>
      <c r="I34" t="str">
        <f>INDEX(Product_data!$A$1:$G$49,MATCH(order_data!$D34,Product_data!$A$1:$A$49,0),MATCH(order_data!I$1,Product_data!$A$1:$G$1,0))</f>
        <v>Liberica</v>
      </c>
      <c r="J34" t="str">
        <f>INDEX(Product_data!$A$1:$G$49,MATCH(order_data!$D34,Product_data!$A$1:$A$49,0),MATCH(order_data!J$1,Product_data!$A$1:$G$1,0))</f>
        <v>Medium Roast</v>
      </c>
      <c r="K34">
        <f>INDEX(Product_data!$A$1:$G$49,MATCH(order_data!$D34,Product_data!$A$1:$A$49,0),MATCH(order_data!K$1,Product_data!$A$1:$G$1,0))</f>
        <v>0.5</v>
      </c>
      <c r="L34">
        <f>INDEX(Product_data!$A$1:$G$49,MATCH(order_data!$D34,Product_data!$A$1:$A$49,0),MATCH(order_data!L$1,Product_data!$A$1:$G$1,0))</f>
        <v>8.73</v>
      </c>
      <c r="M34">
        <f t="shared" si="0"/>
        <v>52.38</v>
      </c>
    </row>
    <row r="35" spans="1:13" ht="14.4">
      <c r="A35" s="5" t="s">
        <v>987</v>
      </c>
      <c r="B35" s="4">
        <v>44394</v>
      </c>
      <c r="C35" s="5" t="s">
        <v>207</v>
      </c>
      <c r="D35" s="6" t="s">
        <v>949</v>
      </c>
      <c r="E35" s="5">
        <v>5</v>
      </c>
      <c r="F35" t="str">
        <f>_xlfn.XLOOKUP(C35,customer_data!$B$1:$B$165,customer_data!$C$1:$C$165,,0)</f>
        <v>Gallard Gatheral</v>
      </c>
      <c r="G35" t="str">
        <f>IF(_xlfn.XLOOKUP(C35,customer_data!$B$1:$B$165,customer_data!$D$1:$D$165,,0)=0,"",_xlfn.XLOOKUP(C35,customer_data!$B$1:$B$165,customer_data!$D$1:$D$165,,0))</f>
        <v>ggatheralx@123-reg.co.uk</v>
      </c>
      <c r="H35" t="str">
        <f>_xlfn.XLOOKUP(C35,customer_data!$B$1:$B$165,customer_data!$H$1:$H$165,,0)</f>
        <v>United States</v>
      </c>
      <c r="I35" t="str">
        <f>INDEX(Product_data!$A$1:$G$49,MATCH(order_data!$D35,Product_data!$A$1:$A$49,0),MATCH(order_data!I$1,Product_data!$A$1:$G$1,0))</f>
        <v>Liberica</v>
      </c>
      <c r="J35" t="str">
        <f>INDEX(Product_data!$A$1:$G$49,MATCH(order_data!$D35,Product_data!$A$1:$A$49,0),MATCH(order_data!J$1,Product_data!$A$1:$G$1,0))</f>
        <v>Light Roast</v>
      </c>
      <c r="K35">
        <f>INDEX(Product_data!$A$1:$G$49,MATCH(order_data!$D35,Product_data!$A$1:$A$49,0),MATCH(order_data!K$1,Product_data!$A$1:$G$1,0))</f>
        <v>0.2</v>
      </c>
      <c r="L35">
        <f>INDEX(Product_data!$A$1:$G$49,MATCH(order_data!$D35,Product_data!$A$1:$A$49,0),MATCH(order_data!L$1,Product_data!$A$1:$G$1,0))</f>
        <v>4.7549999999999999</v>
      </c>
      <c r="M35">
        <f t="shared" si="0"/>
        <v>23.774999999999999</v>
      </c>
    </row>
    <row r="36" spans="1:13" ht="14.4">
      <c r="A36" s="5" t="s">
        <v>988</v>
      </c>
      <c r="B36" s="4">
        <v>44011</v>
      </c>
      <c r="C36" s="5" t="s">
        <v>212</v>
      </c>
      <c r="D36" s="6" t="s">
        <v>989</v>
      </c>
      <c r="E36" s="5">
        <v>6</v>
      </c>
      <c r="F36" t="str">
        <f>_xlfn.XLOOKUP(C36,customer_data!$B$1:$B$165,customer_data!$C$1:$C$165,,0)</f>
        <v>Una Welberry</v>
      </c>
      <c r="G36" t="str">
        <f>IF(_xlfn.XLOOKUP(C36,customer_data!$B$1:$B$165,customer_data!$D$1:$D$165,,0)=0,"",_xlfn.XLOOKUP(C36,customer_data!$B$1:$B$165,customer_data!$D$1:$D$165,,0))</f>
        <v>uwelberryy@ebay.co.uk</v>
      </c>
      <c r="H36" t="str">
        <f>_xlfn.XLOOKUP(C36,customer_data!$B$1:$B$165,customer_data!$H$1:$H$165,,0)</f>
        <v>United Kingdom</v>
      </c>
      <c r="I36" t="str">
        <f>INDEX(Product_data!$A$1:$G$49,MATCH(order_data!$D36,Product_data!$A$1:$A$49,0),MATCH(order_data!I$1,Product_data!$A$1:$G$1,0))</f>
        <v>Liberica</v>
      </c>
      <c r="J36" t="str">
        <f>INDEX(Product_data!$A$1:$G$49,MATCH(order_data!$D36,Product_data!$A$1:$A$49,0),MATCH(order_data!J$1,Product_data!$A$1:$G$1,0))</f>
        <v>Light Roast</v>
      </c>
      <c r="K36">
        <f>INDEX(Product_data!$A$1:$G$49,MATCH(order_data!$D36,Product_data!$A$1:$A$49,0),MATCH(order_data!K$1,Product_data!$A$1:$G$1,0))</f>
        <v>0.5</v>
      </c>
      <c r="L36">
        <f>INDEX(Product_data!$A$1:$G$49,MATCH(order_data!$D36,Product_data!$A$1:$A$49,0),MATCH(order_data!L$1,Product_data!$A$1:$G$1,0))</f>
        <v>9.51</v>
      </c>
      <c r="M36">
        <f t="shared" si="0"/>
        <v>57.06</v>
      </c>
    </row>
    <row r="37" spans="1:13" ht="14.4">
      <c r="A37" s="5" t="s">
        <v>990</v>
      </c>
      <c r="B37" s="4">
        <v>44348</v>
      </c>
      <c r="C37" s="5" t="s">
        <v>220</v>
      </c>
      <c r="D37" s="6" t="s">
        <v>982</v>
      </c>
      <c r="E37" s="5">
        <v>6</v>
      </c>
      <c r="F37" t="str">
        <f>_xlfn.XLOOKUP(C37,customer_data!$B$1:$B$165,customer_data!$C$1:$C$165,,0)</f>
        <v>Faber Eilhart</v>
      </c>
      <c r="G37" t="str">
        <f>IF(_xlfn.XLOOKUP(C37,customer_data!$B$1:$B$165,customer_data!$D$1:$D$165,,0)=0,"",_xlfn.XLOOKUP(C37,customer_data!$B$1:$B$165,customer_data!$D$1:$D$165,,0))</f>
        <v>feilhartz@who.int</v>
      </c>
      <c r="H37" t="str">
        <f>_xlfn.XLOOKUP(C37,customer_data!$B$1:$B$165,customer_data!$H$1:$H$165,,0)</f>
        <v>United States</v>
      </c>
      <c r="I37" t="str">
        <f>INDEX(Product_data!$A$1:$G$49,MATCH(order_data!$D37,Product_data!$A$1:$A$49,0),MATCH(order_data!I$1,Product_data!$A$1:$G$1,0))</f>
        <v>Arabica</v>
      </c>
      <c r="J37" t="str">
        <f>INDEX(Product_data!$A$1:$G$49,MATCH(order_data!$D37,Product_data!$A$1:$A$49,0),MATCH(order_data!J$1,Product_data!$A$1:$G$1,0))</f>
        <v>Dark Roast</v>
      </c>
      <c r="K37">
        <f>INDEX(Product_data!$A$1:$G$49,MATCH(order_data!$D37,Product_data!$A$1:$A$49,0),MATCH(order_data!K$1,Product_data!$A$1:$G$1,0))</f>
        <v>0.5</v>
      </c>
      <c r="L37">
        <f>INDEX(Product_data!$A$1:$G$49,MATCH(order_data!$D37,Product_data!$A$1:$A$49,0),MATCH(order_data!L$1,Product_data!$A$1:$G$1,0))</f>
        <v>5.97</v>
      </c>
      <c r="M37">
        <f t="shared" si="0"/>
        <v>35.82</v>
      </c>
    </row>
    <row r="38" spans="1:13" ht="14.4">
      <c r="A38" s="5" t="s">
        <v>991</v>
      </c>
      <c r="B38" s="4">
        <v>44233</v>
      </c>
      <c r="C38" s="5" t="s">
        <v>226</v>
      </c>
      <c r="D38" s="6" t="s">
        <v>985</v>
      </c>
      <c r="E38" s="5">
        <v>2</v>
      </c>
      <c r="F38" t="str">
        <f>_xlfn.XLOOKUP(C38,customer_data!$B$1:$B$165,customer_data!$C$1:$C$165,,0)</f>
        <v>Zorina Ponting</v>
      </c>
      <c r="G38" t="str">
        <f>IF(_xlfn.XLOOKUP(C38,customer_data!$B$1:$B$165,customer_data!$D$1:$D$165,,0)=0,"",_xlfn.XLOOKUP(C38,customer_data!$B$1:$B$165,customer_data!$D$1:$D$165,,0))</f>
        <v>zponting10@altervista.org</v>
      </c>
      <c r="H38" t="str">
        <f>_xlfn.XLOOKUP(C38,customer_data!$B$1:$B$165,customer_data!$H$1:$H$165,,0)</f>
        <v>United States</v>
      </c>
      <c r="I38" t="str">
        <f>INDEX(Product_data!$A$1:$G$49,MATCH(order_data!$D38,Product_data!$A$1:$A$49,0),MATCH(order_data!I$1,Product_data!$A$1:$G$1,0))</f>
        <v>Liberica</v>
      </c>
      <c r="J38" t="str">
        <f>INDEX(Product_data!$A$1:$G$49,MATCH(order_data!$D38,Product_data!$A$1:$A$49,0),MATCH(order_data!J$1,Product_data!$A$1:$G$1,0))</f>
        <v>Medium Roast</v>
      </c>
      <c r="K38">
        <f>INDEX(Product_data!$A$1:$G$49,MATCH(order_data!$D38,Product_data!$A$1:$A$49,0),MATCH(order_data!K$1,Product_data!$A$1:$G$1,0))</f>
        <v>0.2</v>
      </c>
      <c r="L38">
        <f>INDEX(Product_data!$A$1:$G$49,MATCH(order_data!$D38,Product_data!$A$1:$A$49,0),MATCH(order_data!L$1,Product_data!$A$1:$G$1,0))</f>
        <v>4.3650000000000002</v>
      </c>
      <c r="M38">
        <f t="shared" si="0"/>
        <v>8.73</v>
      </c>
    </row>
    <row r="39" spans="1:13" ht="14.4">
      <c r="A39" s="5" t="s">
        <v>992</v>
      </c>
      <c r="B39" s="4">
        <v>43580</v>
      </c>
      <c r="C39" s="5" t="s">
        <v>232</v>
      </c>
      <c r="D39" s="6" t="s">
        <v>989</v>
      </c>
      <c r="E39" s="5">
        <v>3</v>
      </c>
      <c r="F39" t="str">
        <f>_xlfn.XLOOKUP(C39,customer_data!$B$1:$B$165,customer_data!$C$1:$C$165,,0)</f>
        <v>Silvio Strase</v>
      </c>
      <c r="G39" t="str">
        <f>IF(_xlfn.XLOOKUP(C39,customer_data!$B$1:$B$165,customer_data!$D$1:$D$165,,0)=0,"",_xlfn.XLOOKUP(C39,customer_data!$B$1:$B$165,customer_data!$D$1:$D$165,,0))</f>
        <v>sstrase11@booking.com</v>
      </c>
      <c r="H39" t="str">
        <f>_xlfn.XLOOKUP(C39,customer_data!$B$1:$B$165,customer_data!$H$1:$H$165,,0)</f>
        <v>United States</v>
      </c>
      <c r="I39" t="str">
        <f>INDEX(Product_data!$A$1:$G$49,MATCH(order_data!$D39,Product_data!$A$1:$A$49,0),MATCH(order_data!I$1,Product_data!$A$1:$G$1,0))</f>
        <v>Liberica</v>
      </c>
      <c r="J39" t="str">
        <f>INDEX(Product_data!$A$1:$G$49,MATCH(order_data!$D39,Product_data!$A$1:$A$49,0),MATCH(order_data!J$1,Product_data!$A$1:$G$1,0))</f>
        <v>Light Roast</v>
      </c>
      <c r="K39">
        <f>INDEX(Product_data!$A$1:$G$49,MATCH(order_data!$D39,Product_data!$A$1:$A$49,0),MATCH(order_data!K$1,Product_data!$A$1:$G$1,0))</f>
        <v>0.5</v>
      </c>
      <c r="L39">
        <f>INDEX(Product_data!$A$1:$G$49,MATCH(order_data!$D39,Product_data!$A$1:$A$49,0),MATCH(order_data!L$1,Product_data!$A$1:$G$1,0))</f>
        <v>9.51</v>
      </c>
      <c r="M39">
        <f t="shared" si="0"/>
        <v>28.53</v>
      </c>
    </row>
    <row r="40" spans="1:13" ht="14.4">
      <c r="A40" s="5" t="s">
        <v>993</v>
      </c>
      <c r="B40" s="4">
        <v>43946</v>
      </c>
      <c r="C40" s="5" t="s">
        <v>238</v>
      </c>
      <c r="D40" s="6" t="s">
        <v>963</v>
      </c>
      <c r="E40" s="5">
        <v>5</v>
      </c>
      <c r="F40" t="str">
        <f>_xlfn.XLOOKUP(C40,customer_data!$B$1:$B$165,customer_data!$C$1:$C$165,,0)</f>
        <v>Dorie de la Tremoille</v>
      </c>
      <c r="G40" t="str">
        <f>IF(_xlfn.XLOOKUP(C40,customer_data!$B$1:$B$165,customer_data!$D$1:$D$165,,0)=0,"",_xlfn.XLOOKUP(C40,customer_data!$B$1:$B$165,customer_data!$D$1:$D$165,,0))</f>
        <v>dde12@unesco.org</v>
      </c>
      <c r="H40" t="str">
        <f>_xlfn.XLOOKUP(C40,customer_data!$B$1:$B$165,customer_data!$H$1:$H$165,,0)</f>
        <v>United States</v>
      </c>
      <c r="I40" t="str">
        <f>INDEX(Product_data!$A$1:$G$49,MATCH(order_data!$D40,Product_data!$A$1:$A$49,0),MATCH(order_data!I$1,Product_data!$A$1:$G$1,0))</f>
        <v>Robusta</v>
      </c>
      <c r="J40" t="str">
        <f>INDEX(Product_data!$A$1:$G$49,MATCH(order_data!$D40,Product_data!$A$1:$A$49,0),MATCH(order_data!J$1,Product_data!$A$1:$G$1,0))</f>
        <v>Medium Roast</v>
      </c>
      <c r="K40">
        <f>INDEX(Product_data!$A$1:$G$49,MATCH(order_data!$D40,Product_data!$A$1:$A$49,0),MATCH(order_data!K$1,Product_data!$A$1:$G$1,0))</f>
        <v>2.5</v>
      </c>
      <c r="L40">
        <f>INDEX(Product_data!$A$1:$G$49,MATCH(order_data!$D40,Product_data!$A$1:$A$49,0),MATCH(order_data!L$1,Product_data!$A$1:$G$1,0))</f>
        <v>22.884999999999998</v>
      </c>
      <c r="M40">
        <f t="shared" si="0"/>
        <v>114.42499999999998</v>
      </c>
    </row>
    <row r="41" spans="1:13" ht="14.4">
      <c r="A41" s="5" t="s">
        <v>994</v>
      </c>
      <c r="B41" s="4">
        <v>44524</v>
      </c>
      <c r="C41" s="5" t="s">
        <v>244</v>
      </c>
      <c r="D41" s="6" t="s">
        <v>937</v>
      </c>
      <c r="E41" s="5">
        <v>6</v>
      </c>
      <c r="F41" t="str">
        <f>_xlfn.XLOOKUP(C41,customer_data!$B$1:$B$165,customer_data!$C$1:$C$165,,0)</f>
        <v>Hy Zanetto</v>
      </c>
      <c r="G41" t="str">
        <f>IF(_xlfn.XLOOKUP(C41,customer_data!$B$1:$B$165,customer_data!$D$1:$D$165,,0)=0,"",_xlfn.XLOOKUP(C41,customer_data!$B$1:$B$165,customer_data!$D$1:$D$165,,0))</f>
        <v/>
      </c>
      <c r="H41" t="str">
        <f>_xlfn.XLOOKUP(C41,customer_data!$B$1:$B$165,customer_data!$H$1:$H$165,,0)</f>
        <v>United States</v>
      </c>
      <c r="I41" t="str">
        <f>INDEX(Product_data!$A$1:$G$49,MATCH(order_data!$D41,Product_data!$A$1:$A$49,0),MATCH(order_data!I$1,Product_data!$A$1:$G$1,0))</f>
        <v>Robusta</v>
      </c>
      <c r="J41" t="str">
        <f>INDEX(Product_data!$A$1:$G$49,MATCH(order_data!$D41,Product_data!$A$1:$A$49,0),MATCH(order_data!J$1,Product_data!$A$1:$G$1,0))</f>
        <v>Medium Roast</v>
      </c>
      <c r="K41">
        <f>INDEX(Product_data!$A$1:$G$49,MATCH(order_data!$D41,Product_data!$A$1:$A$49,0),MATCH(order_data!K$1,Product_data!$A$1:$G$1,0))</f>
        <v>1</v>
      </c>
      <c r="L41">
        <f>INDEX(Product_data!$A$1:$G$49,MATCH(order_data!$D41,Product_data!$A$1:$A$49,0),MATCH(order_data!L$1,Product_data!$A$1:$G$1,0))</f>
        <v>9.9499999999999993</v>
      </c>
      <c r="M41">
        <f t="shared" si="0"/>
        <v>59.699999999999996</v>
      </c>
    </row>
    <row r="42" spans="1:13" ht="14.4">
      <c r="A42" s="5" t="s">
        <v>995</v>
      </c>
      <c r="B42" s="4">
        <v>44305</v>
      </c>
      <c r="C42" s="5" t="s">
        <v>248</v>
      </c>
      <c r="D42" s="6" t="s">
        <v>996</v>
      </c>
      <c r="E42" s="5">
        <v>3</v>
      </c>
      <c r="F42" t="str">
        <f>_xlfn.XLOOKUP(C42,customer_data!$B$1:$B$165,customer_data!$C$1:$C$165,,0)</f>
        <v>Jessica McNess</v>
      </c>
      <c r="G42" t="str">
        <f>IF(_xlfn.XLOOKUP(C42,customer_data!$B$1:$B$165,customer_data!$D$1:$D$165,,0)=0,"",_xlfn.XLOOKUP(C42,customer_data!$B$1:$B$165,customer_data!$D$1:$D$165,,0))</f>
        <v/>
      </c>
      <c r="H42" t="str">
        <f>_xlfn.XLOOKUP(C42,customer_data!$B$1:$B$165,customer_data!$H$1:$H$165,,0)</f>
        <v>United States</v>
      </c>
      <c r="I42" t="str">
        <f>INDEX(Product_data!$A$1:$G$49,MATCH(order_data!$D42,Product_data!$A$1:$A$49,0),MATCH(order_data!I$1,Product_data!$A$1:$G$1,0))</f>
        <v>Liberica</v>
      </c>
      <c r="J42" t="str">
        <f>INDEX(Product_data!$A$1:$G$49,MATCH(order_data!$D42,Product_data!$A$1:$A$49,0),MATCH(order_data!J$1,Product_data!$A$1:$G$1,0))</f>
        <v>Medium Roast</v>
      </c>
      <c r="K42">
        <f>INDEX(Product_data!$A$1:$G$49,MATCH(order_data!$D42,Product_data!$A$1:$A$49,0),MATCH(order_data!K$1,Product_data!$A$1:$G$1,0))</f>
        <v>1</v>
      </c>
      <c r="L42">
        <f>INDEX(Product_data!$A$1:$G$49,MATCH(order_data!$D42,Product_data!$A$1:$A$49,0),MATCH(order_data!L$1,Product_data!$A$1:$G$1,0))</f>
        <v>14.55</v>
      </c>
      <c r="M42">
        <f t="shared" si="0"/>
        <v>43.650000000000006</v>
      </c>
    </row>
    <row r="43" spans="1:13" ht="14.4">
      <c r="A43" s="5" t="s">
        <v>997</v>
      </c>
      <c r="B43" s="4">
        <v>44749</v>
      </c>
      <c r="C43" s="5" t="s">
        <v>253</v>
      </c>
      <c r="D43" s="6" t="s">
        <v>969</v>
      </c>
      <c r="E43" s="5">
        <v>2</v>
      </c>
      <c r="F43" t="str">
        <f>_xlfn.XLOOKUP(C43,customer_data!$B$1:$B$165,customer_data!$C$1:$C$165,,0)</f>
        <v>Lorenzo Yeoland</v>
      </c>
      <c r="G43" t="str">
        <f>IF(_xlfn.XLOOKUP(C43,customer_data!$B$1:$B$165,customer_data!$D$1:$D$165,,0)=0,"",_xlfn.XLOOKUP(C43,customer_data!$B$1:$B$165,customer_data!$D$1:$D$165,,0))</f>
        <v>lyeoland15@pbs.org</v>
      </c>
      <c r="H43" t="str">
        <f>_xlfn.XLOOKUP(C43,customer_data!$B$1:$B$165,customer_data!$H$1:$H$165,,0)</f>
        <v>United States</v>
      </c>
      <c r="I43" t="str">
        <f>INDEX(Product_data!$A$1:$G$49,MATCH(order_data!$D43,Product_data!$A$1:$A$49,0),MATCH(order_data!I$1,Product_data!$A$1:$G$1,0))</f>
        <v>Excelsa</v>
      </c>
      <c r="J43" t="str">
        <f>INDEX(Product_data!$A$1:$G$49,MATCH(order_data!$D43,Product_data!$A$1:$A$49,0),MATCH(order_data!J$1,Product_data!$A$1:$G$1,0))</f>
        <v>Dark Roast</v>
      </c>
      <c r="K43">
        <f>INDEX(Product_data!$A$1:$G$49,MATCH(order_data!$D43,Product_data!$A$1:$A$49,0),MATCH(order_data!K$1,Product_data!$A$1:$G$1,0))</f>
        <v>0.2</v>
      </c>
      <c r="L43">
        <f>INDEX(Product_data!$A$1:$G$49,MATCH(order_data!$D43,Product_data!$A$1:$A$49,0),MATCH(order_data!L$1,Product_data!$A$1:$G$1,0))</f>
        <v>3.645</v>
      </c>
      <c r="M43">
        <f t="shared" si="0"/>
        <v>7.29</v>
      </c>
    </row>
    <row r="44" spans="1:13" ht="14.4">
      <c r="A44" s="5" t="s">
        <v>998</v>
      </c>
      <c r="B44" s="4">
        <v>43607</v>
      </c>
      <c r="C44" s="5" t="s">
        <v>259</v>
      </c>
      <c r="D44" s="6" t="s">
        <v>999</v>
      </c>
      <c r="E44" s="5">
        <v>3</v>
      </c>
      <c r="F44" t="str">
        <f>_xlfn.XLOOKUP(C44,customer_data!$B$1:$B$165,customer_data!$C$1:$C$165,,0)</f>
        <v>Abigail Tolworthy</v>
      </c>
      <c r="G44" t="str">
        <f>IF(_xlfn.XLOOKUP(C44,customer_data!$B$1:$B$165,customer_data!$D$1:$D$165,,0)=0,"",_xlfn.XLOOKUP(C44,customer_data!$B$1:$B$165,customer_data!$D$1:$D$165,,0))</f>
        <v>atolworthy16@toplist.cz</v>
      </c>
      <c r="H44" t="str">
        <f>_xlfn.XLOOKUP(C44,customer_data!$B$1:$B$165,customer_data!$H$1:$H$165,,0)</f>
        <v>United States</v>
      </c>
      <c r="I44" t="str">
        <f>INDEX(Product_data!$A$1:$G$49,MATCH(order_data!$D44,Product_data!$A$1:$A$49,0),MATCH(order_data!I$1,Product_data!$A$1:$G$1,0))</f>
        <v>Robusta</v>
      </c>
      <c r="J44" t="str">
        <f>INDEX(Product_data!$A$1:$G$49,MATCH(order_data!$D44,Product_data!$A$1:$A$49,0),MATCH(order_data!J$1,Product_data!$A$1:$G$1,0))</f>
        <v>Dark Roast</v>
      </c>
      <c r="K44">
        <f>INDEX(Product_data!$A$1:$G$49,MATCH(order_data!$D44,Product_data!$A$1:$A$49,0),MATCH(order_data!K$1,Product_data!$A$1:$G$1,0))</f>
        <v>0.2</v>
      </c>
      <c r="L44">
        <f>INDEX(Product_data!$A$1:$G$49,MATCH(order_data!$D44,Product_data!$A$1:$A$49,0),MATCH(order_data!L$1,Product_data!$A$1:$G$1,0))</f>
        <v>2.6849999999999996</v>
      </c>
      <c r="M44">
        <f t="shared" si="0"/>
        <v>8.0549999999999997</v>
      </c>
    </row>
    <row r="45" spans="1:13" ht="14.4">
      <c r="A45" s="5" t="s">
        <v>1000</v>
      </c>
      <c r="B45" s="4">
        <v>44473</v>
      </c>
      <c r="C45" s="5" t="s">
        <v>265</v>
      </c>
      <c r="D45" s="6" t="s">
        <v>1001</v>
      </c>
      <c r="E45" s="5">
        <v>2</v>
      </c>
      <c r="F45" t="str">
        <f>_xlfn.XLOOKUP(C45,customer_data!$B$1:$B$165,customer_data!$C$1:$C$165,,0)</f>
        <v>Maurie Bartol</v>
      </c>
      <c r="G45" t="str">
        <f>IF(_xlfn.XLOOKUP(C45,customer_data!$B$1:$B$165,customer_data!$D$1:$D$165,,0)=0,"",_xlfn.XLOOKUP(C45,customer_data!$B$1:$B$165,customer_data!$D$1:$D$165,,0))</f>
        <v/>
      </c>
      <c r="H45" t="str">
        <f>_xlfn.XLOOKUP(C45,customer_data!$B$1:$B$165,customer_data!$H$1:$H$165,,0)</f>
        <v>United States</v>
      </c>
      <c r="I45" t="str">
        <f>INDEX(Product_data!$A$1:$G$49,MATCH(order_data!$D45,Product_data!$A$1:$A$49,0),MATCH(order_data!I$1,Product_data!$A$1:$G$1,0))</f>
        <v>Liberica</v>
      </c>
      <c r="J45" t="str">
        <f>INDEX(Product_data!$A$1:$G$49,MATCH(order_data!$D45,Product_data!$A$1:$A$49,0),MATCH(order_data!J$1,Product_data!$A$1:$G$1,0))</f>
        <v>Light Roast</v>
      </c>
      <c r="K45">
        <f>INDEX(Product_data!$A$1:$G$49,MATCH(order_data!$D45,Product_data!$A$1:$A$49,0),MATCH(order_data!K$1,Product_data!$A$1:$G$1,0))</f>
        <v>2.5</v>
      </c>
      <c r="L45">
        <f>INDEX(Product_data!$A$1:$G$49,MATCH(order_data!$D45,Product_data!$A$1:$A$49,0),MATCH(order_data!L$1,Product_data!$A$1:$G$1,0))</f>
        <v>36.454999999999998</v>
      </c>
      <c r="M45">
        <f t="shared" si="0"/>
        <v>72.91</v>
      </c>
    </row>
    <row r="46" spans="1:13" ht="14.4">
      <c r="A46" s="5" t="s">
        <v>1002</v>
      </c>
      <c r="B46" s="4">
        <v>43932</v>
      </c>
      <c r="C46" s="5" t="s">
        <v>270</v>
      </c>
      <c r="D46" s="6" t="s">
        <v>938</v>
      </c>
      <c r="E46" s="5">
        <v>2</v>
      </c>
      <c r="F46" t="str">
        <f>_xlfn.XLOOKUP(C46,customer_data!$B$1:$B$165,customer_data!$C$1:$C$165,,0)</f>
        <v>Olag Baudassi</v>
      </c>
      <c r="G46" t="str">
        <f>IF(_xlfn.XLOOKUP(C46,customer_data!$B$1:$B$165,customer_data!$D$1:$D$165,,0)=0,"",_xlfn.XLOOKUP(C46,customer_data!$B$1:$B$165,customer_data!$D$1:$D$165,,0))</f>
        <v>obaudassi18@seesaa.net</v>
      </c>
      <c r="H46" t="str">
        <f>_xlfn.XLOOKUP(C46,customer_data!$B$1:$B$165,customer_data!$H$1:$H$165,,0)</f>
        <v>United States</v>
      </c>
      <c r="I46" t="str">
        <f>INDEX(Product_data!$A$1:$G$49,MATCH(order_data!$D46,Product_data!$A$1:$A$49,0),MATCH(order_data!I$1,Product_data!$A$1:$G$1,0))</f>
        <v>Excelsa</v>
      </c>
      <c r="J46" t="str">
        <f>INDEX(Product_data!$A$1:$G$49,MATCH(order_data!$D46,Product_data!$A$1:$A$49,0),MATCH(order_data!J$1,Product_data!$A$1:$G$1,0))</f>
        <v>Medium Roast</v>
      </c>
      <c r="K46">
        <f>INDEX(Product_data!$A$1:$G$49,MATCH(order_data!$D46,Product_data!$A$1:$A$49,0),MATCH(order_data!K$1,Product_data!$A$1:$G$1,0))</f>
        <v>0.5</v>
      </c>
      <c r="L46">
        <f>INDEX(Product_data!$A$1:$G$49,MATCH(order_data!$D46,Product_data!$A$1:$A$49,0),MATCH(order_data!L$1,Product_data!$A$1:$G$1,0))</f>
        <v>8.25</v>
      </c>
      <c r="M46">
        <f t="shared" si="0"/>
        <v>16.5</v>
      </c>
    </row>
    <row r="47" spans="1:13" ht="14.4">
      <c r="A47" s="5" t="s">
        <v>1003</v>
      </c>
      <c r="B47" s="4">
        <v>44592</v>
      </c>
      <c r="C47" s="5" t="s">
        <v>276</v>
      </c>
      <c r="D47" s="6" t="s">
        <v>1004</v>
      </c>
      <c r="E47" s="5">
        <v>6</v>
      </c>
      <c r="F47" t="str">
        <f>_xlfn.XLOOKUP(C47,customer_data!$B$1:$B$165,customer_data!$C$1:$C$165,,0)</f>
        <v>Petey Kingsbury</v>
      </c>
      <c r="G47" t="str">
        <f>IF(_xlfn.XLOOKUP(C47,customer_data!$B$1:$B$165,customer_data!$D$1:$D$165,,0)=0,"",_xlfn.XLOOKUP(C47,customer_data!$B$1:$B$165,customer_data!$D$1:$D$165,,0))</f>
        <v>pkingsbury19@comcast.net</v>
      </c>
      <c r="H47" t="str">
        <f>_xlfn.XLOOKUP(C47,customer_data!$B$1:$B$165,customer_data!$H$1:$H$165,,0)</f>
        <v>United States</v>
      </c>
      <c r="I47" t="str">
        <f>INDEX(Product_data!$A$1:$G$49,MATCH(order_data!$D47,Product_data!$A$1:$A$49,0),MATCH(order_data!I$1,Product_data!$A$1:$G$1,0))</f>
        <v>Liberica</v>
      </c>
      <c r="J47" t="str">
        <f>INDEX(Product_data!$A$1:$G$49,MATCH(order_data!$D47,Product_data!$A$1:$A$49,0),MATCH(order_data!J$1,Product_data!$A$1:$G$1,0))</f>
        <v>Dark Roast</v>
      </c>
      <c r="K47">
        <f>INDEX(Product_data!$A$1:$G$49,MATCH(order_data!$D47,Product_data!$A$1:$A$49,0),MATCH(order_data!K$1,Product_data!$A$1:$G$1,0))</f>
        <v>2.5</v>
      </c>
      <c r="L47">
        <f>INDEX(Product_data!$A$1:$G$49,MATCH(order_data!$D47,Product_data!$A$1:$A$49,0),MATCH(order_data!L$1,Product_data!$A$1:$G$1,0))</f>
        <v>29.784999999999997</v>
      </c>
      <c r="M47">
        <f t="shared" si="0"/>
        <v>178.70999999999998</v>
      </c>
    </row>
    <row r="48" spans="1:13" ht="14.4">
      <c r="A48" s="5" t="s">
        <v>1005</v>
      </c>
      <c r="B48" s="4">
        <v>43776</v>
      </c>
      <c r="C48" s="5" t="s">
        <v>282</v>
      </c>
      <c r="D48" s="6" t="s">
        <v>1006</v>
      </c>
      <c r="E48" s="5">
        <v>2</v>
      </c>
      <c r="F48" t="str">
        <f>_xlfn.XLOOKUP(C48,customer_data!$B$1:$B$165,customer_data!$C$1:$C$165,,0)</f>
        <v>Donna Baskeyfied</v>
      </c>
      <c r="G48" t="str">
        <f>IF(_xlfn.XLOOKUP(C48,customer_data!$B$1:$B$165,customer_data!$D$1:$D$165,,0)=0,"",_xlfn.XLOOKUP(C48,customer_data!$B$1:$B$165,customer_data!$D$1:$D$165,,0))</f>
        <v/>
      </c>
      <c r="H48" t="str">
        <f>_xlfn.XLOOKUP(C48,customer_data!$B$1:$B$165,customer_data!$H$1:$H$165,,0)</f>
        <v>United States</v>
      </c>
      <c r="I48" t="str">
        <f>INDEX(Product_data!$A$1:$G$49,MATCH(order_data!$D48,Product_data!$A$1:$A$49,0),MATCH(order_data!I$1,Product_data!$A$1:$G$1,0))</f>
        <v>Excelsa</v>
      </c>
      <c r="J48" t="str">
        <f>INDEX(Product_data!$A$1:$G$49,MATCH(order_data!$D48,Product_data!$A$1:$A$49,0),MATCH(order_data!J$1,Product_data!$A$1:$G$1,0))</f>
        <v>Medium Roast</v>
      </c>
      <c r="K48">
        <f>INDEX(Product_data!$A$1:$G$49,MATCH(order_data!$D48,Product_data!$A$1:$A$49,0),MATCH(order_data!K$1,Product_data!$A$1:$G$1,0))</f>
        <v>2.5</v>
      </c>
      <c r="L48">
        <f>INDEX(Product_data!$A$1:$G$49,MATCH(order_data!$D48,Product_data!$A$1:$A$49,0),MATCH(order_data!L$1,Product_data!$A$1:$G$1,0))</f>
        <v>31.624999999999996</v>
      </c>
      <c r="M48">
        <f t="shared" si="0"/>
        <v>63.249999999999993</v>
      </c>
    </row>
    <row r="49" spans="1:13" ht="14.4">
      <c r="A49" s="5" t="s">
        <v>1007</v>
      </c>
      <c r="B49" s="4">
        <v>43644</v>
      </c>
      <c r="C49" s="5" t="s">
        <v>287</v>
      </c>
      <c r="D49" s="6" t="s">
        <v>1008</v>
      </c>
      <c r="E49" s="5">
        <v>2</v>
      </c>
      <c r="F49" t="str">
        <f>_xlfn.XLOOKUP(C49,customer_data!$B$1:$B$165,customer_data!$C$1:$C$165,,0)</f>
        <v>Arda Curley</v>
      </c>
      <c r="G49" t="str">
        <f>IF(_xlfn.XLOOKUP(C49,customer_data!$B$1:$B$165,customer_data!$D$1:$D$165,,0)=0,"",_xlfn.XLOOKUP(C49,customer_data!$B$1:$B$165,customer_data!$D$1:$D$165,,0))</f>
        <v>acurley1b@hao123.com</v>
      </c>
      <c r="H49" t="str">
        <f>_xlfn.XLOOKUP(C49,customer_data!$B$1:$B$165,customer_data!$H$1:$H$165,,0)</f>
        <v>United States</v>
      </c>
      <c r="I49" t="str">
        <f>INDEX(Product_data!$A$1:$G$49,MATCH(order_data!$D49,Product_data!$A$1:$A$49,0),MATCH(order_data!I$1,Product_data!$A$1:$G$1,0))</f>
        <v>Arabica</v>
      </c>
      <c r="J49" t="str">
        <f>INDEX(Product_data!$A$1:$G$49,MATCH(order_data!$D49,Product_data!$A$1:$A$49,0),MATCH(order_data!J$1,Product_data!$A$1:$G$1,0))</f>
        <v>Light Roast</v>
      </c>
      <c r="K49">
        <f>INDEX(Product_data!$A$1:$G$49,MATCH(order_data!$D49,Product_data!$A$1:$A$49,0),MATCH(order_data!K$1,Product_data!$A$1:$G$1,0))</f>
        <v>0.2</v>
      </c>
      <c r="L49">
        <f>INDEX(Product_data!$A$1:$G$49,MATCH(order_data!$D49,Product_data!$A$1:$A$49,0),MATCH(order_data!L$1,Product_data!$A$1:$G$1,0))</f>
        <v>3.8849999999999998</v>
      </c>
      <c r="M49">
        <f t="shared" si="0"/>
        <v>7.77</v>
      </c>
    </row>
    <row r="50" spans="1:13" ht="14.4">
      <c r="A50" s="5" t="s">
        <v>1009</v>
      </c>
      <c r="B50" s="4">
        <v>44085</v>
      </c>
      <c r="C50" s="5" t="s">
        <v>293</v>
      </c>
      <c r="D50" s="6" t="s">
        <v>1010</v>
      </c>
      <c r="E50" s="5">
        <v>4</v>
      </c>
      <c r="F50" t="str">
        <f>_xlfn.XLOOKUP(C50,customer_data!$B$1:$B$165,customer_data!$C$1:$C$165,,0)</f>
        <v>Raynor McGilvary</v>
      </c>
      <c r="G50" t="str">
        <f>IF(_xlfn.XLOOKUP(C50,customer_data!$B$1:$B$165,customer_data!$D$1:$D$165,,0)=0,"",_xlfn.XLOOKUP(C50,customer_data!$B$1:$B$165,customer_data!$D$1:$D$165,,0))</f>
        <v>rmcgilvary1c@tamu.edu</v>
      </c>
      <c r="H50" t="str">
        <f>_xlfn.XLOOKUP(C50,customer_data!$B$1:$B$165,customer_data!$H$1:$H$165,,0)</f>
        <v>United States</v>
      </c>
      <c r="I50" t="str">
        <f>INDEX(Product_data!$A$1:$G$49,MATCH(order_data!$D50,Product_data!$A$1:$A$49,0),MATCH(order_data!I$1,Product_data!$A$1:$G$1,0))</f>
        <v>Arabica</v>
      </c>
      <c r="J50" t="str">
        <f>INDEX(Product_data!$A$1:$G$49,MATCH(order_data!$D50,Product_data!$A$1:$A$49,0),MATCH(order_data!J$1,Product_data!$A$1:$G$1,0))</f>
        <v>Dark Roast</v>
      </c>
      <c r="K50">
        <f>INDEX(Product_data!$A$1:$G$49,MATCH(order_data!$D50,Product_data!$A$1:$A$49,0),MATCH(order_data!K$1,Product_data!$A$1:$G$1,0))</f>
        <v>2.5</v>
      </c>
      <c r="L50">
        <f>INDEX(Product_data!$A$1:$G$49,MATCH(order_data!$D50,Product_data!$A$1:$A$49,0),MATCH(order_data!L$1,Product_data!$A$1:$G$1,0))</f>
        <v>22.884999999999998</v>
      </c>
      <c r="M50">
        <f t="shared" si="0"/>
        <v>91.539999999999992</v>
      </c>
    </row>
    <row r="51" spans="1:13" ht="14.4">
      <c r="A51" s="5" t="s">
        <v>1011</v>
      </c>
      <c r="B51" s="4">
        <v>44790</v>
      </c>
      <c r="C51" s="5" t="s">
        <v>298</v>
      </c>
      <c r="D51" s="6" t="s">
        <v>940</v>
      </c>
      <c r="E51" s="5">
        <v>3</v>
      </c>
      <c r="F51" t="str">
        <f>_xlfn.XLOOKUP(C51,customer_data!$B$1:$B$165,customer_data!$C$1:$C$165,,0)</f>
        <v>Isis Pikett</v>
      </c>
      <c r="G51" t="str">
        <f>IF(_xlfn.XLOOKUP(C51,customer_data!$B$1:$B$165,customer_data!$D$1:$D$165,,0)=0,"",_xlfn.XLOOKUP(C51,customer_data!$B$1:$B$165,customer_data!$D$1:$D$165,,0))</f>
        <v>ipikett1d@xinhuanet.com</v>
      </c>
      <c r="H51" t="str">
        <f>_xlfn.XLOOKUP(C51,customer_data!$B$1:$B$165,customer_data!$H$1:$H$165,,0)</f>
        <v>United States</v>
      </c>
      <c r="I51" t="str">
        <f>INDEX(Product_data!$A$1:$G$49,MATCH(order_data!$D51,Product_data!$A$1:$A$49,0),MATCH(order_data!I$1,Product_data!$A$1:$G$1,0))</f>
        <v>Arabica</v>
      </c>
      <c r="J51" t="str">
        <f>INDEX(Product_data!$A$1:$G$49,MATCH(order_data!$D51,Product_data!$A$1:$A$49,0),MATCH(order_data!J$1,Product_data!$A$1:$G$1,0))</f>
        <v>Light Roast</v>
      </c>
      <c r="K51">
        <f>INDEX(Product_data!$A$1:$G$49,MATCH(order_data!$D51,Product_data!$A$1:$A$49,0),MATCH(order_data!K$1,Product_data!$A$1:$G$1,0))</f>
        <v>1</v>
      </c>
      <c r="L51">
        <f>INDEX(Product_data!$A$1:$G$49,MATCH(order_data!$D51,Product_data!$A$1:$A$49,0),MATCH(order_data!L$1,Product_data!$A$1:$G$1,0))</f>
        <v>12.95</v>
      </c>
      <c r="M51">
        <f t="shared" si="0"/>
        <v>38.849999999999994</v>
      </c>
    </row>
    <row r="52" spans="1:13" ht="14.4">
      <c r="A52" s="5" t="s">
        <v>1012</v>
      </c>
      <c r="B52" s="4">
        <v>44792</v>
      </c>
      <c r="C52" s="5" t="s">
        <v>304</v>
      </c>
      <c r="D52" s="6" t="s">
        <v>1013</v>
      </c>
      <c r="E52" s="5">
        <v>2</v>
      </c>
      <c r="F52" t="str">
        <f>_xlfn.XLOOKUP(C52,customer_data!$B$1:$B$165,customer_data!$C$1:$C$165,,0)</f>
        <v>Inger Bouldon</v>
      </c>
      <c r="G52" t="str">
        <f>IF(_xlfn.XLOOKUP(C52,customer_data!$B$1:$B$165,customer_data!$D$1:$D$165,,0)=0,"",_xlfn.XLOOKUP(C52,customer_data!$B$1:$B$165,customer_data!$D$1:$D$165,,0))</f>
        <v>ibouldon1e@gizmodo.com</v>
      </c>
      <c r="H52" t="str">
        <f>_xlfn.XLOOKUP(C52,customer_data!$B$1:$B$165,customer_data!$H$1:$H$165,,0)</f>
        <v>United States</v>
      </c>
      <c r="I52" t="str">
        <f>INDEX(Product_data!$A$1:$G$49,MATCH(order_data!$D52,Product_data!$A$1:$A$49,0),MATCH(order_data!I$1,Product_data!$A$1:$G$1,0))</f>
        <v>Liberica</v>
      </c>
      <c r="J52" t="str">
        <f>INDEX(Product_data!$A$1:$G$49,MATCH(order_data!$D52,Product_data!$A$1:$A$49,0),MATCH(order_data!J$1,Product_data!$A$1:$G$1,0))</f>
        <v>Dark Roast</v>
      </c>
      <c r="K52">
        <f>INDEX(Product_data!$A$1:$G$49,MATCH(order_data!$D52,Product_data!$A$1:$A$49,0),MATCH(order_data!K$1,Product_data!$A$1:$G$1,0))</f>
        <v>0.5</v>
      </c>
      <c r="L52">
        <f>INDEX(Product_data!$A$1:$G$49,MATCH(order_data!$D52,Product_data!$A$1:$A$49,0),MATCH(order_data!L$1,Product_data!$A$1:$G$1,0))</f>
        <v>7.77</v>
      </c>
      <c r="M52">
        <f t="shared" si="0"/>
        <v>15.54</v>
      </c>
    </row>
    <row r="53" spans="1:13" ht="14.4">
      <c r="A53" s="5" t="s">
        <v>1014</v>
      </c>
      <c r="B53" s="4">
        <v>43600</v>
      </c>
      <c r="C53" s="5" t="s">
        <v>310</v>
      </c>
      <c r="D53" s="6" t="s">
        <v>1001</v>
      </c>
      <c r="E53" s="5">
        <v>4</v>
      </c>
      <c r="F53" t="str">
        <f>_xlfn.XLOOKUP(C53,customer_data!$B$1:$B$165,customer_data!$C$1:$C$165,,0)</f>
        <v>Karry Flanders</v>
      </c>
      <c r="G53" t="str">
        <f>IF(_xlfn.XLOOKUP(C53,customer_data!$B$1:$B$165,customer_data!$D$1:$D$165,,0)=0,"",_xlfn.XLOOKUP(C53,customer_data!$B$1:$B$165,customer_data!$D$1:$D$165,,0))</f>
        <v>kflanders1f@over-blog.com</v>
      </c>
      <c r="H53" t="str">
        <f>_xlfn.XLOOKUP(C53,customer_data!$B$1:$B$165,customer_data!$H$1:$H$165,,0)</f>
        <v>Ireland</v>
      </c>
      <c r="I53" t="str">
        <f>INDEX(Product_data!$A$1:$G$49,MATCH(order_data!$D53,Product_data!$A$1:$A$49,0),MATCH(order_data!I$1,Product_data!$A$1:$G$1,0))</f>
        <v>Liberica</v>
      </c>
      <c r="J53" t="str">
        <f>INDEX(Product_data!$A$1:$G$49,MATCH(order_data!$D53,Product_data!$A$1:$A$49,0),MATCH(order_data!J$1,Product_data!$A$1:$G$1,0))</f>
        <v>Light Roast</v>
      </c>
      <c r="K53">
        <f>INDEX(Product_data!$A$1:$G$49,MATCH(order_data!$D53,Product_data!$A$1:$A$49,0),MATCH(order_data!K$1,Product_data!$A$1:$G$1,0))</f>
        <v>2.5</v>
      </c>
      <c r="L53">
        <f>INDEX(Product_data!$A$1:$G$49,MATCH(order_data!$D53,Product_data!$A$1:$A$49,0),MATCH(order_data!L$1,Product_data!$A$1:$G$1,0))</f>
        <v>36.454999999999998</v>
      </c>
      <c r="M53">
        <f t="shared" si="0"/>
        <v>145.82</v>
      </c>
    </row>
    <row r="54" spans="1:13" ht="14.4">
      <c r="A54" s="5" t="s">
        <v>1015</v>
      </c>
      <c r="B54" s="4">
        <v>43719</v>
      </c>
      <c r="C54" s="5" t="s">
        <v>315</v>
      </c>
      <c r="D54" s="6" t="s">
        <v>951</v>
      </c>
      <c r="E54" s="5">
        <v>5</v>
      </c>
      <c r="F54" t="str">
        <f>_xlfn.XLOOKUP(C54,customer_data!$B$1:$B$165,customer_data!$C$1:$C$165,,0)</f>
        <v>Hartley Mattioli</v>
      </c>
      <c r="G54" t="str">
        <f>IF(_xlfn.XLOOKUP(C54,customer_data!$B$1:$B$165,customer_data!$D$1:$D$165,,0)=0,"",_xlfn.XLOOKUP(C54,customer_data!$B$1:$B$165,customer_data!$D$1:$D$165,,0))</f>
        <v>hmattioli1g@webmd.com</v>
      </c>
      <c r="H54" t="str">
        <f>_xlfn.XLOOKUP(C54,customer_data!$B$1:$B$165,customer_data!$H$1:$H$165,,0)</f>
        <v>United Kingdom</v>
      </c>
      <c r="I54" t="str">
        <f>INDEX(Product_data!$A$1:$G$49,MATCH(order_data!$D54,Product_data!$A$1:$A$49,0),MATCH(order_data!I$1,Product_data!$A$1:$G$1,0))</f>
        <v>Robusta</v>
      </c>
      <c r="J54" t="str">
        <f>INDEX(Product_data!$A$1:$G$49,MATCH(order_data!$D54,Product_data!$A$1:$A$49,0),MATCH(order_data!J$1,Product_data!$A$1:$G$1,0))</f>
        <v>Medium Roast</v>
      </c>
      <c r="K54">
        <f>INDEX(Product_data!$A$1:$G$49,MATCH(order_data!$D54,Product_data!$A$1:$A$49,0),MATCH(order_data!K$1,Product_data!$A$1:$G$1,0))</f>
        <v>0.5</v>
      </c>
      <c r="L54">
        <f>INDEX(Product_data!$A$1:$G$49,MATCH(order_data!$D54,Product_data!$A$1:$A$49,0),MATCH(order_data!L$1,Product_data!$A$1:$G$1,0))</f>
        <v>5.97</v>
      </c>
      <c r="M54">
        <f t="shared" si="0"/>
        <v>29.849999999999998</v>
      </c>
    </row>
    <row r="55" spans="1:13" ht="14.4">
      <c r="A55" s="5" t="s">
        <v>1015</v>
      </c>
      <c r="B55" s="4">
        <v>43719</v>
      </c>
      <c r="C55" s="5" t="s">
        <v>315</v>
      </c>
      <c r="D55" s="6" t="s">
        <v>1001</v>
      </c>
      <c r="E55" s="5">
        <v>2</v>
      </c>
      <c r="F55" t="str">
        <f>_xlfn.XLOOKUP(C55,customer_data!$B$1:$B$165,customer_data!$C$1:$C$165,,0)</f>
        <v>Hartley Mattioli</v>
      </c>
      <c r="G55" t="str">
        <f>IF(_xlfn.XLOOKUP(C55,customer_data!$B$1:$B$165,customer_data!$D$1:$D$165,,0)=0,"",_xlfn.XLOOKUP(C55,customer_data!$B$1:$B$165,customer_data!$D$1:$D$165,,0))</f>
        <v>hmattioli1g@webmd.com</v>
      </c>
      <c r="H55" t="str">
        <f>_xlfn.XLOOKUP(C55,customer_data!$B$1:$B$165,customer_data!$H$1:$H$165,,0)</f>
        <v>United Kingdom</v>
      </c>
      <c r="I55" t="str">
        <f>INDEX(Product_data!$A$1:$G$49,MATCH(order_data!$D55,Product_data!$A$1:$A$49,0),MATCH(order_data!I$1,Product_data!$A$1:$G$1,0))</f>
        <v>Liberica</v>
      </c>
      <c r="J55" t="str">
        <f>INDEX(Product_data!$A$1:$G$49,MATCH(order_data!$D55,Product_data!$A$1:$A$49,0),MATCH(order_data!J$1,Product_data!$A$1:$G$1,0))</f>
        <v>Light Roast</v>
      </c>
      <c r="K55">
        <f>INDEX(Product_data!$A$1:$G$49,MATCH(order_data!$D55,Product_data!$A$1:$A$49,0),MATCH(order_data!K$1,Product_data!$A$1:$G$1,0))</f>
        <v>2.5</v>
      </c>
      <c r="L55">
        <f>INDEX(Product_data!$A$1:$G$49,MATCH(order_data!$D55,Product_data!$A$1:$A$49,0),MATCH(order_data!L$1,Product_data!$A$1:$G$1,0))</f>
        <v>36.454999999999998</v>
      </c>
      <c r="M55">
        <f t="shared" si="0"/>
        <v>72.91</v>
      </c>
    </row>
    <row r="56" spans="1:13" ht="14.4">
      <c r="A56" s="5" t="s">
        <v>1016</v>
      </c>
      <c r="B56" s="4">
        <v>44271</v>
      </c>
      <c r="C56" s="5" t="s">
        <v>327</v>
      </c>
      <c r="D56" s="6" t="s">
        <v>996</v>
      </c>
      <c r="E56" s="5">
        <v>5</v>
      </c>
      <c r="F56" t="str">
        <f>_xlfn.XLOOKUP(C56,customer_data!$B$1:$B$165,customer_data!$C$1:$C$165,,0)</f>
        <v>Archambault Gillard</v>
      </c>
      <c r="G56" t="str">
        <f>IF(_xlfn.XLOOKUP(C56,customer_data!$B$1:$B$165,customer_data!$D$1:$D$165,,0)=0,"",_xlfn.XLOOKUP(C56,customer_data!$B$1:$B$165,customer_data!$D$1:$D$165,,0))</f>
        <v>agillard1i@issuu.com</v>
      </c>
      <c r="H56" t="str">
        <f>_xlfn.XLOOKUP(C56,customer_data!$B$1:$B$165,customer_data!$H$1:$H$165,,0)</f>
        <v>United States</v>
      </c>
      <c r="I56" t="str">
        <f>INDEX(Product_data!$A$1:$G$49,MATCH(order_data!$D56,Product_data!$A$1:$A$49,0),MATCH(order_data!I$1,Product_data!$A$1:$G$1,0))</f>
        <v>Liberica</v>
      </c>
      <c r="J56" t="str">
        <f>INDEX(Product_data!$A$1:$G$49,MATCH(order_data!$D56,Product_data!$A$1:$A$49,0),MATCH(order_data!J$1,Product_data!$A$1:$G$1,0))</f>
        <v>Medium Roast</v>
      </c>
      <c r="K56">
        <f>INDEX(Product_data!$A$1:$G$49,MATCH(order_data!$D56,Product_data!$A$1:$A$49,0),MATCH(order_data!K$1,Product_data!$A$1:$G$1,0))</f>
        <v>1</v>
      </c>
      <c r="L56">
        <f>INDEX(Product_data!$A$1:$G$49,MATCH(order_data!$D56,Product_data!$A$1:$A$49,0),MATCH(order_data!L$1,Product_data!$A$1:$G$1,0))</f>
        <v>14.55</v>
      </c>
      <c r="M56">
        <f t="shared" si="0"/>
        <v>72.75</v>
      </c>
    </row>
    <row r="57" spans="1:13" ht="14.4">
      <c r="A57" s="5" t="s">
        <v>1017</v>
      </c>
      <c r="B57" s="4">
        <v>44168</v>
      </c>
      <c r="C57" s="5" t="s">
        <v>333</v>
      </c>
      <c r="D57" s="6" t="s">
        <v>1018</v>
      </c>
      <c r="E57" s="5">
        <v>3</v>
      </c>
      <c r="F57" t="str">
        <f>_xlfn.XLOOKUP(C57,customer_data!$B$1:$B$165,customer_data!$C$1:$C$165,,0)</f>
        <v>Salomo Cushworth</v>
      </c>
      <c r="G57" t="str">
        <f>IF(_xlfn.XLOOKUP(C57,customer_data!$B$1:$B$165,customer_data!$D$1:$D$165,,0)=0,"",_xlfn.XLOOKUP(C57,customer_data!$B$1:$B$165,customer_data!$D$1:$D$165,,0))</f>
        <v/>
      </c>
      <c r="H57" t="str">
        <f>_xlfn.XLOOKUP(C57,customer_data!$B$1:$B$165,customer_data!$H$1:$H$165,,0)</f>
        <v>United States</v>
      </c>
      <c r="I57" t="str">
        <f>INDEX(Product_data!$A$1:$G$49,MATCH(order_data!$D57,Product_data!$A$1:$A$49,0),MATCH(order_data!I$1,Product_data!$A$1:$G$1,0))</f>
        <v>Liberica</v>
      </c>
      <c r="J57" t="str">
        <f>INDEX(Product_data!$A$1:$G$49,MATCH(order_data!$D57,Product_data!$A$1:$A$49,0),MATCH(order_data!J$1,Product_data!$A$1:$G$1,0))</f>
        <v>Light Roast</v>
      </c>
      <c r="K57">
        <f>INDEX(Product_data!$A$1:$G$49,MATCH(order_data!$D57,Product_data!$A$1:$A$49,0),MATCH(order_data!K$1,Product_data!$A$1:$G$1,0))</f>
        <v>1</v>
      </c>
      <c r="L57">
        <f>INDEX(Product_data!$A$1:$G$49,MATCH(order_data!$D57,Product_data!$A$1:$A$49,0),MATCH(order_data!L$1,Product_data!$A$1:$G$1,0))</f>
        <v>15.85</v>
      </c>
      <c r="M57">
        <f t="shared" si="0"/>
        <v>47.55</v>
      </c>
    </row>
    <row r="58" spans="1:13" ht="14.4">
      <c r="A58" s="5" t="s">
        <v>1019</v>
      </c>
      <c r="B58" s="4">
        <v>43857</v>
      </c>
      <c r="C58" s="5" t="s">
        <v>338</v>
      </c>
      <c r="D58" s="6" t="s">
        <v>969</v>
      </c>
      <c r="E58" s="5">
        <v>3</v>
      </c>
      <c r="F58" t="str">
        <f>_xlfn.XLOOKUP(C58,customer_data!$B$1:$B$165,customer_data!$C$1:$C$165,,0)</f>
        <v>Theda Grizard</v>
      </c>
      <c r="G58" t="str">
        <f>IF(_xlfn.XLOOKUP(C58,customer_data!$B$1:$B$165,customer_data!$D$1:$D$165,,0)=0,"",_xlfn.XLOOKUP(C58,customer_data!$B$1:$B$165,customer_data!$D$1:$D$165,,0))</f>
        <v>tgrizard1k@odnoklassniki.ru</v>
      </c>
      <c r="H58" t="str">
        <f>_xlfn.XLOOKUP(C58,customer_data!$B$1:$B$165,customer_data!$H$1:$H$165,,0)</f>
        <v>United States</v>
      </c>
      <c r="I58" t="str">
        <f>INDEX(Product_data!$A$1:$G$49,MATCH(order_data!$D58,Product_data!$A$1:$A$49,0),MATCH(order_data!I$1,Product_data!$A$1:$G$1,0))</f>
        <v>Excelsa</v>
      </c>
      <c r="J58" t="str">
        <f>INDEX(Product_data!$A$1:$G$49,MATCH(order_data!$D58,Product_data!$A$1:$A$49,0),MATCH(order_data!J$1,Product_data!$A$1:$G$1,0))</f>
        <v>Dark Roast</v>
      </c>
      <c r="K58">
        <f>INDEX(Product_data!$A$1:$G$49,MATCH(order_data!$D58,Product_data!$A$1:$A$49,0),MATCH(order_data!K$1,Product_data!$A$1:$G$1,0))</f>
        <v>0.2</v>
      </c>
      <c r="L58">
        <f>INDEX(Product_data!$A$1:$G$49,MATCH(order_data!$D58,Product_data!$A$1:$A$49,0),MATCH(order_data!L$1,Product_data!$A$1:$G$1,0))</f>
        <v>3.645</v>
      </c>
      <c r="M58">
        <f t="shared" si="0"/>
        <v>10.935</v>
      </c>
    </row>
    <row r="59" spans="1:13" ht="14.4">
      <c r="A59" s="5" t="s">
        <v>1020</v>
      </c>
      <c r="B59" s="4">
        <v>44759</v>
      </c>
      <c r="C59" s="5" t="s">
        <v>344</v>
      </c>
      <c r="D59" s="6" t="s">
        <v>1021</v>
      </c>
      <c r="E59" s="5">
        <v>4</v>
      </c>
      <c r="F59" t="str">
        <f>_xlfn.XLOOKUP(C59,customer_data!$B$1:$B$165,customer_data!$C$1:$C$165,,0)</f>
        <v>Rozele Relton</v>
      </c>
      <c r="G59" t="str">
        <f>IF(_xlfn.XLOOKUP(C59,customer_data!$B$1:$B$165,customer_data!$D$1:$D$165,,0)=0,"",_xlfn.XLOOKUP(C59,customer_data!$B$1:$B$165,customer_data!$D$1:$D$165,,0))</f>
        <v>rrelton1l@stanford.edu</v>
      </c>
      <c r="H59" t="str">
        <f>_xlfn.XLOOKUP(C59,customer_data!$B$1:$B$165,customer_data!$H$1:$H$165,,0)</f>
        <v>United States</v>
      </c>
      <c r="I59" t="str">
        <f>INDEX(Product_data!$A$1:$G$49,MATCH(order_data!$D59,Product_data!$A$1:$A$49,0),MATCH(order_data!I$1,Product_data!$A$1:$G$1,0))</f>
        <v>Excelsa</v>
      </c>
      <c r="J59" t="str">
        <f>INDEX(Product_data!$A$1:$G$49,MATCH(order_data!$D59,Product_data!$A$1:$A$49,0),MATCH(order_data!J$1,Product_data!$A$1:$G$1,0))</f>
        <v>Light Roast</v>
      </c>
      <c r="K59">
        <f>INDEX(Product_data!$A$1:$G$49,MATCH(order_data!$D59,Product_data!$A$1:$A$49,0),MATCH(order_data!K$1,Product_data!$A$1:$G$1,0))</f>
        <v>1</v>
      </c>
      <c r="L59">
        <f>INDEX(Product_data!$A$1:$G$49,MATCH(order_data!$D59,Product_data!$A$1:$A$49,0),MATCH(order_data!L$1,Product_data!$A$1:$G$1,0))</f>
        <v>14.85</v>
      </c>
      <c r="M59">
        <f t="shared" si="0"/>
        <v>59.4</v>
      </c>
    </row>
    <row r="60" spans="1:13" ht="14.4">
      <c r="A60" s="5" t="s">
        <v>1022</v>
      </c>
      <c r="B60" s="4">
        <v>44624</v>
      </c>
      <c r="C60" s="5" t="s">
        <v>350</v>
      </c>
      <c r="D60" s="6" t="s">
        <v>1004</v>
      </c>
      <c r="E60" s="5">
        <v>3</v>
      </c>
      <c r="F60" t="str">
        <f>_xlfn.XLOOKUP(C60,customer_data!$B$1:$B$165,customer_data!$C$1:$C$165,,0)</f>
        <v>Willa Rolling</v>
      </c>
      <c r="G60" t="str">
        <f>IF(_xlfn.XLOOKUP(C60,customer_data!$B$1:$B$165,customer_data!$D$1:$D$165,,0)=0,"",_xlfn.XLOOKUP(C60,customer_data!$B$1:$B$165,customer_data!$D$1:$D$165,,0))</f>
        <v/>
      </c>
      <c r="H60" t="str">
        <f>_xlfn.XLOOKUP(C60,customer_data!$B$1:$B$165,customer_data!$H$1:$H$165,,0)</f>
        <v>United States</v>
      </c>
      <c r="I60" t="str">
        <f>INDEX(Product_data!$A$1:$G$49,MATCH(order_data!$D60,Product_data!$A$1:$A$49,0),MATCH(order_data!I$1,Product_data!$A$1:$G$1,0))</f>
        <v>Liberica</v>
      </c>
      <c r="J60" t="str">
        <f>INDEX(Product_data!$A$1:$G$49,MATCH(order_data!$D60,Product_data!$A$1:$A$49,0),MATCH(order_data!J$1,Product_data!$A$1:$G$1,0))</f>
        <v>Dark Roast</v>
      </c>
      <c r="K60">
        <f>INDEX(Product_data!$A$1:$G$49,MATCH(order_data!$D60,Product_data!$A$1:$A$49,0),MATCH(order_data!K$1,Product_data!$A$1:$G$1,0))</f>
        <v>2.5</v>
      </c>
      <c r="L60">
        <f>INDEX(Product_data!$A$1:$G$49,MATCH(order_data!$D60,Product_data!$A$1:$A$49,0),MATCH(order_data!L$1,Product_data!$A$1:$G$1,0))</f>
        <v>29.784999999999997</v>
      </c>
      <c r="M60">
        <f t="shared" si="0"/>
        <v>89.35499999999999</v>
      </c>
    </row>
    <row r="61" spans="1:13" ht="14.4">
      <c r="A61" s="5" t="s">
        <v>1023</v>
      </c>
      <c r="B61" s="4">
        <v>44537</v>
      </c>
      <c r="C61" s="5" t="s">
        <v>355</v>
      </c>
      <c r="D61" s="6" t="s">
        <v>986</v>
      </c>
      <c r="E61" s="5">
        <v>3</v>
      </c>
      <c r="F61" t="str">
        <f>_xlfn.XLOOKUP(C61,customer_data!$B$1:$B$165,customer_data!$C$1:$C$165,,0)</f>
        <v>Stanislaus Gilroy</v>
      </c>
      <c r="G61" t="str">
        <f>IF(_xlfn.XLOOKUP(C61,customer_data!$B$1:$B$165,customer_data!$D$1:$D$165,,0)=0,"",_xlfn.XLOOKUP(C61,customer_data!$B$1:$B$165,customer_data!$D$1:$D$165,,0))</f>
        <v>sgilroy1n@eepurl.com</v>
      </c>
      <c r="H61" t="str">
        <f>_xlfn.XLOOKUP(C61,customer_data!$B$1:$B$165,customer_data!$H$1:$H$165,,0)</f>
        <v>United States</v>
      </c>
      <c r="I61" t="str">
        <f>INDEX(Product_data!$A$1:$G$49,MATCH(order_data!$D61,Product_data!$A$1:$A$49,0),MATCH(order_data!I$1,Product_data!$A$1:$G$1,0))</f>
        <v>Liberica</v>
      </c>
      <c r="J61" t="str">
        <f>INDEX(Product_data!$A$1:$G$49,MATCH(order_data!$D61,Product_data!$A$1:$A$49,0),MATCH(order_data!J$1,Product_data!$A$1:$G$1,0))</f>
        <v>Medium Roast</v>
      </c>
      <c r="K61">
        <f>INDEX(Product_data!$A$1:$G$49,MATCH(order_data!$D61,Product_data!$A$1:$A$49,0),MATCH(order_data!K$1,Product_data!$A$1:$G$1,0))</f>
        <v>0.5</v>
      </c>
      <c r="L61">
        <f>INDEX(Product_data!$A$1:$G$49,MATCH(order_data!$D61,Product_data!$A$1:$A$49,0),MATCH(order_data!L$1,Product_data!$A$1:$G$1,0))</f>
        <v>8.73</v>
      </c>
      <c r="M61">
        <f t="shared" si="0"/>
        <v>26.19</v>
      </c>
    </row>
    <row r="62" spans="1:13" ht="14.4">
      <c r="A62" s="5" t="s">
        <v>1024</v>
      </c>
      <c r="B62" s="4">
        <v>44252</v>
      </c>
      <c r="C62" s="5" t="s">
        <v>360</v>
      </c>
      <c r="D62" s="6" t="s">
        <v>1010</v>
      </c>
      <c r="E62" s="5">
        <v>5</v>
      </c>
      <c r="F62" t="str">
        <f>_xlfn.XLOOKUP(C62,customer_data!$B$1:$B$165,customer_data!$C$1:$C$165,,0)</f>
        <v>Correy Cottingham</v>
      </c>
      <c r="G62" t="str">
        <f>IF(_xlfn.XLOOKUP(C62,customer_data!$B$1:$B$165,customer_data!$D$1:$D$165,,0)=0,"",_xlfn.XLOOKUP(C62,customer_data!$B$1:$B$165,customer_data!$D$1:$D$165,,0))</f>
        <v>ccottingham1o@wikipedia.org</v>
      </c>
      <c r="H62" t="str">
        <f>_xlfn.XLOOKUP(C62,customer_data!$B$1:$B$165,customer_data!$H$1:$H$165,,0)</f>
        <v>United States</v>
      </c>
      <c r="I62" t="str">
        <f>INDEX(Product_data!$A$1:$G$49,MATCH(order_data!$D62,Product_data!$A$1:$A$49,0),MATCH(order_data!I$1,Product_data!$A$1:$G$1,0))</f>
        <v>Arabica</v>
      </c>
      <c r="J62" t="str">
        <f>INDEX(Product_data!$A$1:$G$49,MATCH(order_data!$D62,Product_data!$A$1:$A$49,0),MATCH(order_data!J$1,Product_data!$A$1:$G$1,0))</f>
        <v>Dark Roast</v>
      </c>
      <c r="K62">
        <f>INDEX(Product_data!$A$1:$G$49,MATCH(order_data!$D62,Product_data!$A$1:$A$49,0),MATCH(order_data!K$1,Product_data!$A$1:$G$1,0))</f>
        <v>2.5</v>
      </c>
      <c r="L62">
        <f>INDEX(Product_data!$A$1:$G$49,MATCH(order_data!$D62,Product_data!$A$1:$A$49,0),MATCH(order_data!L$1,Product_data!$A$1:$G$1,0))</f>
        <v>22.884999999999998</v>
      </c>
      <c r="M62">
        <f t="shared" si="0"/>
        <v>114.42499999999998</v>
      </c>
    </row>
    <row r="63" spans="1:13" ht="14.4">
      <c r="A63" s="5" t="s">
        <v>1025</v>
      </c>
      <c r="B63" s="4">
        <v>43521</v>
      </c>
      <c r="C63" s="5" t="s">
        <v>366</v>
      </c>
      <c r="D63" s="6" t="s">
        <v>1026</v>
      </c>
      <c r="E63" s="5">
        <v>5</v>
      </c>
      <c r="F63" t="str">
        <f>_xlfn.XLOOKUP(C63,customer_data!$B$1:$B$165,customer_data!$C$1:$C$165,,0)</f>
        <v>Pammi Endacott</v>
      </c>
      <c r="G63" t="str">
        <f>IF(_xlfn.XLOOKUP(C63,customer_data!$B$1:$B$165,customer_data!$D$1:$D$165,,0)=0,"",_xlfn.XLOOKUP(C63,customer_data!$B$1:$B$165,customer_data!$D$1:$D$165,,0))</f>
        <v/>
      </c>
      <c r="H63" t="str">
        <f>_xlfn.XLOOKUP(C63,customer_data!$B$1:$B$165,customer_data!$H$1:$H$165,,0)</f>
        <v>United Kingdom</v>
      </c>
      <c r="I63" t="str">
        <f>INDEX(Product_data!$A$1:$G$49,MATCH(order_data!$D63,Product_data!$A$1:$A$49,0),MATCH(order_data!I$1,Product_data!$A$1:$G$1,0))</f>
        <v>Robusta</v>
      </c>
      <c r="J63" t="str">
        <f>INDEX(Product_data!$A$1:$G$49,MATCH(order_data!$D63,Product_data!$A$1:$A$49,0),MATCH(order_data!J$1,Product_data!$A$1:$G$1,0))</f>
        <v>Dark Roast</v>
      </c>
      <c r="K63">
        <f>INDEX(Product_data!$A$1:$G$49,MATCH(order_data!$D63,Product_data!$A$1:$A$49,0),MATCH(order_data!K$1,Product_data!$A$1:$G$1,0))</f>
        <v>0.5</v>
      </c>
      <c r="L63">
        <f>INDEX(Product_data!$A$1:$G$49,MATCH(order_data!$D63,Product_data!$A$1:$A$49,0),MATCH(order_data!L$1,Product_data!$A$1:$G$1,0))</f>
        <v>5.3699999999999992</v>
      </c>
      <c r="M63">
        <f t="shared" si="0"/>
        <v>26.849999999999994</v>
      </c>
    </row>
    <row r="64" spans="1:13" ht="14.4">
      <c r="A64" s="5" t="s">
        <v>1027</v>
      </c>
      <c r="B64" s="4">
        <v>43505</v>
      </c>
      <c r="C64" s="5" t="s">
        <v>372</v>
      </c>
      <c r="D64" s="6" t="s">
        <v>949</v>
      </c>
      <c r="E64" s="5">
        <v>5</v>
      </c>
      <c r="F64" t="str">
        <f>_xlfn.XLOOKUP(C64,customer_data!$B$1:$B$165,customer_data!$C$1:$C$165,,0)</f>
        <v>Nona Linklater</v>
      </c>
      <c r="G64" t="str">
        <f>IF(_xlfn.XLOOKUP(C64,customer_data!$B$1:$B$165,customer_data!$D$1:$D$165,,0)=0,"",_xlfn.XLOOKUP(C64,customer_data!$B$1:$B$165,customer_data!$D$1:$D$165,,0))</f>
        <v/>
      </c>
      <c r="H64" t="str">
        <f>_xlfn.XLOOKUP(C64,customer_data!$B$1:$B$165,customer_data!$H$1:$H$165,,0)</f>
        <v>United States</v>
      </c>
      <c r="I64" t="str">
        <f>INDEX(Product_data!$A$1:$G$49,MATCH(order_data!$D64,Product_data!$A$1:$A$49,0),MATCH(order_data!I$1,Product_data!$A$1:$G$1,0))</f>
        <v>Liberica</v>
      </c>
      <c r="J64" t="str">
        <f>INDEX(Product_data!$A$1:$G$49,MATCH(order_data!$D64,Product_data!$A$1:$A$49,0),MATCH(order_data!J$1,Product_data!$A$1:$G$1,0))</f>
        <v>Light Roast</v>
      </c>
      <c r="K64">
        <f>INDEX(Product_data!$A$1:$G$49,MATCH(order_data!$D64,Product_data!$A$1:$A$49,0),MATCH(order_data!K$1,Product_data!$A$1:$G$1,0))</f>
        <v>0.2</v>
      </c>
      <c r="L64">
        <f>INDEX(Product_data!$A$1:$G$49,MATCH(order_data!$D64,Product_data!$A$1:$A$49,0),MATCH(order_data!L$1,Product_data!$A$1:$G$1,0))</f>
        <v>4.7549999999999999</v>
      </c>
      <c r="M64">
        <f t="shared" si="0"/>
        <v>23.774999999999999</v>
      </c>
    </row>
    <row r="65" spans="1:13" ht="14.4">
      <c r="A65" s="5" t="s">
        <v>1028</v>
      </c>
      <c r="B65" s="4">
        <v>43868</v>
      </c>
      <c r="C65" s="5" t="s">
        <v>377</v>
      </c>
      <c r="D65" s="6" t="s">
        <v>979</v>
      </c>
      <c r="E65" s="5">
        <v>1</v>
      </c>
      <c r="F65" t="str">
        <f>_xlfn.XLOOKUP(C65,customer_data!$B$1:$B$165,customer_data!$C$1:$C$165,,0)</f>
        <v>Annadiane Dykes</v>
      </c>
      <c r="G65" t="str">
        <f>IF(_xlfn.XLOOKUP(C65,customer_data!$B$1:$B$165,customer_data!$D$1:$D$165,,0)=0,"",_xlfn.XLOOKUP(C65,customer_data!$B$1:$B$165,customer_data!$D$1:$D$165,,0))</f>
        <v>adykes1r@eventbrite.com</v>
      </c>
      <c r="H65" t="str">
        <f>_xlfn.XLOOKUP(C65,customer_data!$B$1:$B$165,customer_data!$H$1:$H$165,,0)</f>
        <v>United States</v>
      </c>
      <c r="I65" t="str">
        <f>INDEX(Product_data!$A$1:$G$49,MATCH(order_data!$D65,Product_data!$A$1:$A$49,0),MATCH(order_data!I$1,Product_data!$A$1:$G$1,0))</f>
        <v>Arabica</v>
      </c>
      <c r="J65" t="str">
        <f>INDEX(Product_data!$A$1:$G$49,MATCH(order_data!$D65,Product_data!$A$1:$A$49,0),MATCH(order_data!J$1,Product_data!$A$1:$G$1,0))</f>
        <v>Medium Roast</v>
      </c>
      <c r="K65">
        <f>INDEX(Product_data!$A$1:$G$49,MATCH(order_data!$D65,Product_data!$A$1:$A$49,0),MATCH(order_data!K$1,Product_data!$A$1:$G$1,0))</f>
        <v>0.5</v>
      </c>
      <c r="L65">
        <f>INDEX(Product_data!$A$1:$G$49,MATCH(order_data!$D65,Product_data!$A$1:$A$49,0),MATCH(order_data!L$1,Product_data!$A$1:$G$1,0))</f>
        <v>6.75</v>
      </c>
      <c r="M65">
        <f t="shared" si="0"/>
        <v>6.75</v>
      </c>
    </row>
    <row r="66" spans="1:13" ht="14.4">
      <c r="A66" s="5" t="s">
        <v>1029</v>
      </c>
      <c r="B66" s="4">
        <v>43913</v>
      </c>
      <c r="C66" s="5" t="s">
        <v>383</v>
      </c>
      <c r="D66" s="6" t="s">
        <v>951</v>
      </c>
      <c r="E66" s="5">
        <v>6</v>
      </c>
      <c r="F66" t="str">
        <f>_xlfn.XLOOKUP(C66,customer_data!$B$1:$B$165,customer_data!$C$1:$C$165,,0)</f>
        <v>Felecia Dodgson</v>
      </c>
      <c r="G66" t="str">
        <f>IF(_xlfn.XLOOKUP(C66,customer_data!$B$1:$B$165,customer_data!$D$1:$D$165,,0)=0,"",_xlfn.XLOOKUP(C66,customer_data!$B$1:$B$165,customer_data!$D$1:$D$165,,0))</f>
        <v/>
      </c>
      <c r="H66" t="str">
        <f>_xlfn.XLOOKUP(C66,customer_data!$B$1:$B$165,customer_data!$H$1:$H$165,,0)</f>
        <v>United States</v>
      </c>
      <c r="I66" t="str">
        <f>INDEX(Product_data!$A$1:$G$49,MATCH(order_data!$D66,Product_data!$A$1:$A$49,0),MATCH(order_data!I$1,Product_data!$A$1:$G$1,0))</f>
        <v>Robusta</v>
      </c>
      <c r="J66" t="str">
        <f>INDEX(Product_data!$A$1:$G$49,MATCH(order_data!$D66,Product_data!$A$1:$A$49,0),MATCH(order_data!J$1,Product_data!$A$1:$G$1,0))</f>
        <v>Medium Roast</v>
      </c>
      <c r="K66">
        <f>INDEX(Product_data!$A$1:$G$49,MATCH(order_data!$D66,Product_data!$A$1:$A$49,0),MATCH(order_data!K$1,Product_data!$A$1:$G$1,0))</f>
        <v>0.5</v>
      </c>
      <c r="L66">
        <f>INDEX(Product_data!$A$1:$G$49,MATCH(order_data!$D66,Product_data!$A$1:$A$49,0),MATCH(order_data!L$1,Product_data!$A$1:$G$1,0))</f>
        <v>5.97</v>
      </c>
      <c r="M66">
        <f t="shared" si="0"/>
        <v>35.82</v>
      </c>
    </row>
    <row r="67" spans="1:13" ht="14.4">
      <c r="A67" s="5" t="s">
        <v>1030</v>
      </c>
      <c r="B67" s="4">
        <v>44626</v>
      </c>
      <c r="C67" s="5" t="s">
        <v>388</v>
      </c>
      <c r="D67" s="6" t="s">
        <v>959</v>
      </c>
      <c r="E67" s="5">
        <v>4</v>
      </c>
      <c r="F67" t="str">
        <f>_xlfn.XLOOKUP(C67,customer_data!$B$1:$B$165,customer_data!$C$1:$C$165,,0)</f>
        <v>Angelia Cockrem</v>
      </c>
      <c r="G67" t="str">
        <f>IF(_xlfn.XLOOKUP(C67,customer_data!$B$1:$B$165,customer_data!$D$1:$D$165,,0)=0,"",_xlfn.XLOOKUP(C67,customer_data!$B$1:$B$165,customer_data!$D$1:$D$165,,0))</f>
        <v>acockrem1t@engadget.com</v>
      </c>
      <c r="H67" t="str">
        <f>_xlfn.XLOOKUP(C67,customer_data!$B$1:$B$165,customer_data!$H$1:$H$165,,0)</f>
        <v>United States</v>
      </c>
      <c r="I67" t="str">
        <f>INDEX(Product_data!$A$1:$G$49,MATCH(order_data!$D67,Product_data!$A$1:$A$49,0),MATCH(order_data!I$1,Product_data!$A$1:$G$1,0))</f>
        <v>Robusta</v>
      </c>
      <c r="J67" t="str">
        <f>INDEX(Product_data!$A$1:$G$49,MATCH(order_data!$D67,Product_data!$A$1:$A$49,0),MATCH(order_data!J$1,Product_data!$A$1:$G$1,0))</f>
        <v>Dark Roast</v>
      </c>
      <c r="K67">
        <f>INDEX(Product_data!$A$1:$G$49,MATCH(order_data!$D67,Product_data!$A$1:$A$49,0),MATCH(order_data!K$1,Product_data!$A$1:$G$1,0))</f>
        <v>2.5</v>
      </c>
      <c r="L67">
        <f>INDEX(Product_data!$A$1:$G$49,MATCH(order_data!$D67,Product_data!$A$1:$A$49,0),MATCH(order_data!L$1,Product_data!$A$1:$G$1,0))</f>
        <v>20.584999999999997</v>
      </c>
      <c r="M67">
        <f t="shared" ref="M67:M130" si="1">L67*E67</f>
        <v>82.339999999999989</v>
      </c>
    </row>
    <row r="68" spans="1:13" ht="14.4">
      <c r="A68" s="5" t="s">
        <v>1031</v>
      </c>
      <c r="B68" s="4">
        <v>44666</v>
      </c>
      <c r="C68" s="5" t="s">
        <v>394</v>
      </c>
      <c r="D68" s="6" t="s">
        <v>1032</v>
      </c>
      <c r="E68" s="5">
        <v>1</v>
      </c>
      <c r="F68" t="str">
        <f>_xlfn.XLOOKUP(C68,customer_data!$B$1:$B$165,customer_data!$C$1:$C$165,,0)</f>
        <v>Belvia Umpleby</v>
      </c>
      <c r="G68" t="str">
        <f>IF(_xlfn.XLOOKUP(C68,customer_data!$B$1:$B$165,customer_data!$D$1:$D$165,,0)=0,"",_xlfn.XLOOKUP(C68,customer_data!$B$1:$B$165,customer_data!$D$1:$D$165,,0))</f>
        <v>bumpleby1u@soundcloud.com</v>
      </c>
      <c r="H68" t="str">
        <f>_xlfn.XLOOKUP(C68,customer_data!$B$1:$B$165,customer_data!$H$1:$H$165,,0)</f>
        <v>United States</v>
      </c>
      <c r="I68" t="str">
        <f>INDEX(Product_data!$A$1:$G$49,MATCH(order_data!$D68,Product_data!$A$1:$A$49,0),MATCH(order_data!I$1,Product_data!$A$1:$G$1,0))</f>
        <v>Robusta</v>
      </c>
      <c r="J68" t="str">
        <f>INDEX(Product_data!$A$1:$G$49,MATCH(order_data!$D68,Product_data!$A$1:$A$49,0),MATCH(order_data!J$1,Product_data!$A$1:$G$1,0))</f>
        <v>Light Roast</v>
      </c>
      <c r="K68">
        <f>INDEX(Product_data!$A$1:$G$49,MATCH(order_data!$D68,Product_data!$A$1:$A$49,0),MATCH(order_data!K$1,Product_data!$A$1:$G$1,0))</f>
        <v>0.5</v>
      </c>
      <c r="L68">
        <f>INDEX(Product_data!$A$1:$G$49,MATCH(order_data!$D68,Product_data!$A$1:$A$49,0),MATCH(order_data!L$1,Product_data!$A$1:$G$1,0))</f>
        <v>7.169999999999999</v>
      </c>
      <c r="M68">
        <f t="shared" si="1"/>
        <v>7.169999999999999</v>
      </c>
    </row>
    <row r="69" spans="1:13" ht="14.4">
      <c r="A69" s="5" t="s">
        <v>1033</v>
      </c>
      <c r="B69" s="4">
        <v>44519</v>
      </c>
      <c r="C69" s="5" t="s">
        <v>400</v>
      </c>
      <c r="D69" s="6" t="s">
        <v>949</v>
      </c>
      <c r="E69" s="5">
        <v>2</v>
      </c>
      <c r="F69" t="str">
        <f>_xlfn.XLOOKUP(C69,customer_data!$B$1:$B$165,customer_data!$C$1:$C$165,,0)</f>
        <v>Nat Saleway</v>
      </c>
      <c r="G69" t="str">
        <f>IF(_xlfn.XLOOKUP(C69,customer_data!$B$1:$B$165,customer_data!$D$1:$D$165,,0)=0,"",_xlfn.XLOOKUP(C69,customer_data!$B$1:$B$165,customer_data!$D$1:$D$165,,0))</f>
        <v>nsaleway1v@dedecms.com</v>
      </c>
      <c r="H69" t="str">
        <f>_xlfn.XLOOKUP(C69,customer_data!$B$1:$B$165,customer_data!$H$1:$H$165,,0)</f>
        <v>United States</v>
      </c>
      <c r="I69" t="str">
        <f>INDEX(Product_data!$A$1:$G$49,MATCH(order_data!$D69,Product_data!$A$1:$A$49,0),MATCH(order_data!I$1,Product_data!$A$1:$G$1,0))</f>
        <v>Liberica</v>
      </c>
      <c r="J69" t="str">
        <f>INDEX(Product_data!$A$1:$G$49,MATCH(order_data!$D69,Product_data!$A$1:$A$49,0),MATCH(order_data!J$1,Product_data!$A$1:$G$1,0))</f>
        <v>Light Roast</v>
      </c>
      <c r="K69">
        <f>INDEX(Product_data!$A$1:$G$49,MATCH(order_data!$D69,Product_data!$A$1:$A$49,0),MATCH(order_data!K$1,Product_data!$A$1:$G$1,0))</f>
        <v>0.2</v>
      </c>
      <c r="L69">
        <f>INDEX(Product_data!$A$1:$G$49,MATCH(order_data!$D69,Product_data!$A$1:$A$49,0),MATCH(order_data!L$1,Product_data!$A$1:$G$1,0))</f>
        <v>4.7549999999999999</v>
      </c>
      <c r="M69">
        <f t="shared" si="1"/>
        <v>9.51</v>
      </c>
    </row>
    <row r="70" spans="1:13" ht="14.4">
      <c r="A70" s="5" t="s">
        <v>1034</v>
      </c>
      <c r="B70" s="4">
        <v>43754</v>
      </c>
      <c r="C70" s="5" t="s">
        <v>406</v>
      </c>
      <c r="D70" s="6" t="s">
        <v>1035</v>
      </c>
      <c r="E70" s="5">
        <v>1</v>
      </c>
      <c r="F70" t="str">
        <f>_xlfn.XLOOKUP(C70,customer_data!$B$1:$B$165,customer_data!$C$1:$C$165,,0)</f>
        <v>Hayward Goulter</v>
      </c>
      <c r="G70" t="str">
        <f>IF(_xlfn.XLOOKUP(C70,customer_data!$B$1:$B$165,customer_data!$D$1:$D$165,,0)=0,"",_xlfn.XLOOKUP(C70,customer_data!$B$1:$B$165,customer_data!$D$1:$D$165,,0))</f>
        <v>hgoulter1w@abc.net.au</v>
      </c>
      <c r="H70" t="str">
        <f>_xlfn.XLOOKUP(C70,customer_data!$B$1:$B$165,customer_data!$H$1:$H$165,,0)</f>
        <v>United States</v>
      </c>
      <c r="I70" t="str">
        <f>INDEX(Product_data!$A$1:$G$49,MATCH(order_data!$D70,Product_data!$A$1:$A$49,0),MATCH(order_data!I$1,Product_data!$A$1:$G$1,0))</f>
        <v>Robusta</v>
      </c>
      <c r="J70" t="str">
        <f>INDEX(Product_data!$A$1:$G$49,MATCH(order_data!$D70,Product_data!$A$1:$A$49,0),MATCH(order_data!J$1,Product_data!$A$1:$G$1,0))</f>
        <v>Medium Roast</v>
      </c>
      <c r="K70">
        <f>INDEX(Product_data!$A$1:$G$49,MATCH(order_data!$D70,Product_data!$A$1:$A$49,0),MATCH(order_data!K$1,Product_data!$A$1:$G$1,0))</f>
        <v>0.2</v>
      </c>
      <c r="L70">
        <f>INDEX(Product_data!$A$1:$G$49,MATCH(order_data!$D70,Product_data!$A$1:$A$49,0),MATCH(order_data!L$1,Product_data!$A$1:$G$1,0))</f>
        <v>2.9849999999999999</v>
      </c>
      <c r="M70">
        <f t="shared" si="1"/>
        <v>2.9849999999999999</v>
      </c>
    </row>
    <row r="71" spans="1:13" ht="14.4">
      <c r="A71" s="5" t="s">
        <v>1036</v>
      </c>
      <c r="B71" s="4">
        <v>43795</v>
      </c>
      <c r="C71" s="5" t="s">
        <v>412</v>
      </c>
      <c r="D71" s="6" t="s">
        <v>937</v>
      </c>
      <c r="E71" s="5">
        <v>6</v>
      </c>
      <c r="F71" t="str">
        <f>_xlfn.XLOOKUP(C71,customer_data!$B$1:$B$165,customer_data!$C$1:$C$165,,0)</f>
        <v>Gay Rizzello</v>
      </c>
      <c r="G71" t="str">
        <f>IF(_xlfn.XLOOKUP(C71,customer_data!$B$1:$B$165,customer_data!$D$1:$D$165,,0)=0,"",_xlfn.XLOOKUP(C71,customer_data!$B$1:$B$165,customer_data!$D$1:$D$165,,0))</f>
        <v>grizzello1x@symantec.com</v>
      </c>
      <c r="H71" t="str">
        <f>_xlfn.XLOOKUP(C71,customer_data!$B$1:$B$165,customer_data!$H$1:$H$165,,0)</f>
        <v>United Kingdom</v>
      </c>
      <c r="I71" t="str">
        <f>INDEX(Product_data!$A$1:$G$49,MATCH(order_data!$D71,Product_data!$A$1:$A$49,0),MATCH(order_data!I$1,Product_data!$A$1:$G$1,0))</f>
        <v>Robusta</v>
      </c>
      <c r="J71" t="str">
        <f>INDEX(Product_data!$A$1:$G$49,MATCH(order_data!$D71,Product_data!$A$1:$A$49,0),MATCH(order_data!J$1,Product_data!$A$1:$G$1,0))</f>
        <v>Medium Roast</v>
      </c>
      <c r="K71">
        <f>INDEX(Product_data!$A$1:$G$49,MATCH(order_data!$D71,Product_data!$A$1:$A$49,0),MATCH(order_data!K$1,Product_data!$A$1:$G$1,0))</f>
        <v>1</v>
      </c>
      <c r="L71">
        <f>INDEX(Product_data!$A$1:$G$49,MATCH(order_data!$D71,Product_data!$A$1:$A$49,0),MATCH(order_data!L$1,Product_data!$A$1:$G$1,0))</f>
        <v>9.9499999999999993</v>
      </c>
      <c r="M71">
        <f t="shared" si="1"/>
        <v>59.699999999999996</v>
      </c>
    </row>
    <row r="72" spans="1:13" ht="14.4">
      <c r="A72" s="5" t="s">
        <v>1037</v>
      </c>
      <c r="B72" s="4">
        <v>43646</v>
      </c>
      <c r="C72" s="5" t="s">
        <v>419</v>
      </c>
      <c r="D72" s="6" t="s">
        <v>956</v>
      </c>
      <c r="E72" s="5">
        <v>4</v>
      </c>
      <c r="F72" t="str">
        <f>_xlfn.XLOOKUP(C72,customer_data!$B$1:$B$165,customer_data!$C$1:$C$165,,0)</f>
        <v>Shannon List</v>
      </c>
      <c r="G72" t="str">
        <f>IF(_xlfn.XLOOKUP(C72,customer_data!$B$1:$B$165,customer_data!$D$1:$D$165,,0)=0,"",_xlfn.XLOOKUP(C72,customer_data!$B$1:$B$165,customer_data!$D$1:$D$165,,0))</f>
        <v>slist1y@mapquest.com</v>
      </c>
      <c r="H72" t="str">
        <f>_xlfn.XLOOKUP(C72,customer_data!$B$1:$B$165,customer_data!$H$1:$H$165,,0)</f>
        <v>United States</v>
      </c>
      <c r="I72" t="str">
        <f>INDEX(Product_data!$A$1:$G$49,MATCH(order_data!$D72,Product_data!$A$1:$A$49,0),MATCH(order_data!I$1,Product_data!$A$1:$G$1,0))</f>
        <v>Excelsa</v>
      </c>
      <c r="J72" t="str">
        <f>INDEX(Product_data!$A$1:$G$49,MATCH(order_data!$D72,Product_data!$A$1:$A$49,0),MATCH(order_data!J$1,Product_data!$A$1:$G$1,0))</f>
        <v>Light Roast</v>
      </c>
      <c r="K72">
        <f>INDEX(Product_data!$A$1:$G$49,MATCH(order_data!$D72,Product_data!$A$1:$A$49,0),MATCH(order_data!K$1,Product_data!$A$1:$G$1,0))</f>
        <v>2.5</v>
      </c>
      <c r="L72">
        <f>INDEX(Product_data!$A$1:$G$49,MATCH(order_data!$D72,Product_data!$A$1:$A$49,0),MATCH(order_data!L$1,Product_data!$A$1:$G$1,0))</f>
        <v>34.154999999999994</v>
      </c>
      <c r="M72">
        <f t="shared" si="1"/>
        <v>136.61999999999998</v>
      </c>
    </row>
    <row r="73" spans="1:13" ht="14.4">
      <c r="A73" s="5" t="s">
        <v>1038</v>
      </c>
      <c r="B73" s="4">
        <v>44200</v>
      </c>
      <c r="C73" s="5" t="s">
        <v>425</v>
      </c>
      <c r="D73" s="6" t="s">
        <v>949</v>
      </c>
      <c r="E73" s="5">
        <v>2</v>
      </c>
      <c r="F73" t="str">
        <f>_xlfn.XLOOKUP(C73,customer_data!$B$1:$B$165,customer_data!$C$1:$C$165,,0)</f>
        <v>Shirlene Edmondson</v>
      </c>
      <c r="G73" t="str">
        <f>IF(_xlfn.XLOOKUP(C73,customer_data!$B$1:$B$165,customer_data!$D$1:$D$165,,0)=0,"",_xlfn.XLOOKUP(C73,customer_data!$B$1:$B$165,customer_data!$D$1:$D$165,,0))</f>
        <v>sedmondson1z@theguardian.com</v>
      </c>
      <c r="H73" t="str">
        <f>_xlfn.XLOOKUP(C73,customer_data!$B$1:$B$165,customer_data!$H$1:$H$165,,0)</f>
        <v>Ireland</v>
      </c>
      <c r="I73" t="str">
        <f>INDEX(Product_data!$A$1:$G$49,MATCH(order_data!$D73,Product_data!$A$1:$A$49,0),MATCH(order_data!I$1,Product_data!$A$1:$G$1,0))</f>
        <v>Liberica</v>
      </c>
      <c r="J73" t="str">
        <f>INDEX(Product_data!$A$1:$G$49,MATCH(order_data!$D73,Product_data!$A$1:$A$49,0),MATCH(order_data!J$1,Product_data!$A$1:$G$1,0))</f>
        <v>Light Roast</v>
      </c>
      <c r="K73">
        <f>INDEX(Product_data!$A$1:$G$49,MATCH(order_data!$D73,Product_data!$A$1:$A$49,0),MATCH(order_data!K$1,Product_data!$A$1:$G$1,0))</f>
        <v>0.2</v>
      </c>
      <c r="L73">
        <f>INDEX(Product_data!$A$1:$G$49,MATCH(order_data!$D73,Product_data!$A$1:$A$49,0),MATCH(order_data!L$1,Product_data!$A$1:$G$1,0))</f>
        <v>4.7549999999999999</v>
      </c>
      <c r="M73">
        <f t="shared" si="1"/>
        <v>9.51</v>
      </c>
    </row>
    <row r="74" spans="1:13" ht="14.4">
      <c r="A74" s="5" t="s">
        <v>1039</v>
      </c>
      <c r="B74" s="4">
        <v>44131</v>
      </c>
      <c r="C74" s="5" t="s">
        <v>432</v>
      </c>
      <c r="D74" s="6" t="s">
        <v>1040</v>
      </c>
      <c r="E74" s="5">
        <v>3</v>
      </c>
      <c r="F74" t="str">
        <f>_xlfn.XLOOKUP(C74,customer_data!$B$1:$B$165,customer_data!$C$1:$C$165,,0)</f>
        <v>Aurlie McCarl</v>
      </c>
      <c r="G74" t="str">
        <f>IF(_xlfn.XLOOKUP(C74,customer_data!$B$1:$B$165,customer_data!$D$1:$D$165,,0)=0,"",_xlfn.XLOOKUP(C74,customer_data!$B$1:$B$165,customer_data!$D$1:$D$165,,0))</f>
        <v/>
      </c>
      <c r="H74" t="str">
        <f>_xlfn.XLOOKUP(C74,customer_data!$B$1:$B$165,customer_data!$H$1:$H$165,,0)</f>
        <v>United States</v>
      </c>
      <c r="I74" t="str">
        <f>INDEX(Product_data!$A$1:$G$49,MATCH(order_data!$D74,Product_data!$A$1:$A$49,0),MATCH(order_data!I$1,Product_data!$A$1:$G$1,0))</f>
        <v>Arabica</v>
      </c>
      <c r="J74" t="str">
        <f>INDEX(Product_data!$A$1:$G$49,MATCH(order_data!$D74,Product_data!$A$1:$A$49,0),MATCH(order_data!J$1,Product_data!$A$1:$G$1,0))</f>
        <v>Medium Roast</v>
      </c>
      <c r="K74">
        <f>INDEX(Product_data!$A$1:$G$49,MATCH(order_data!$D74,Product_data!$A$1:$A$49,0),MATCH(order_data!K$1,Product_data!$A$1:$G$1,0))</f>
        <v>2.5</v>
      </c>
      <c r="L74">
        <f>INDEX(Product_data!$A$1:$G$49,MATCH(order_data!$D74,Product_data!$A$1:$A$49,0),MATCH(order_data!L$1,Product_data!$A$1:$G$1,0))</f>
        <v>25.874999999999996</v>
      </c>
      <c r="M74">
        <f t="shared" si="1"/>
        <v>77.624999999999986</v>
      </c>
    </row>
    <row r="75" spans="1:13" ht="14.4">
      <c r="A75" s="5" t="s">
        <v>1041</v>
      </c>
      <c r="B75" s="4">
        <v>44362</v>
      </c>
      <c r="C75" s="5" t="s">
        <v>436</v>
      </c>
      <c r="D75" s="6" t="s">
        <v>985</v>
      </c>
      <c r="E75" s="5">
        <v>5</v>
      </c>
      <c r="F75" t="str">
        <f>_xlfn.XLOOKUP(C75,customer_data!$B$1:$B$165,customer_data!$C$1:$C$165,,0)</f>
        <v>Alikee Carryer</v>
      </c>
      <c r="G75" t="str">
        <f>IF(_xlfn.XLOOKUP(C75,customer_data!$B$1:$B$165,customer_data!$D$1:$D$165,,0)=0,"",_xlfn.XLOOKUP(C75,customer_data!$B$1:$B$165,customer_data!$D$1:$D$165,,0))</f>
        <v/>
      </c>
      <c r="H75" t="str">
        <f>_xlfn.XLOOKUP(C75,customer_data!$B$1:$B$165,customer_data!$H$1:$H$165,,0)</f>
        <v>United States</v>
      </c>
      <c r="I75" t="str">
        <f>INDEX(Product_data!$A$1:$G$49,MATCH(order_data!$D75,Product_data!$A$1:$A$49,0),MATCH(order_data!I$1,Product_data!$A$1:$G$1,0))</f>
        <v>Liberica</v>
      </c>
      <c r="J75" t="str">
        <f>INDEX(Product_data!$A$1:$G$49,MATCH(order_data!$D75,Product_data!$A$1:$A$49,0),MATCH(order_data!J$1,Product_data!$A$1:$G$1,0))</f>
        <v>Medium Roast</v>
      </c>
      <c r="K75">
        <f>INDEX(Product_data!$A$1:$G$49,MATCH(order_data!$D75,Product_data!$A$1:$A$49,0),MATCH(order_data!K$1,Product_data!$A$1:$G$1,0))</f>
        <v>0.2</v>
      </c>
      <c r="L75">
        <f>INDEX(Product_data!$A$1:$G$49,MATCH(order_data!$D75,Product_data!$A$1:$A$49,0),MATCH(order_data!L$1,Product_data!$A$1:$G$1,0))</f>
        <v>4.3650000000000002</v>
      </c>
      <c r="M75">
        <f t="shared" si="1"/>
        <v>21.825000000000003</v>
      </c>
    </row>
    <row r="76" spans="1:13" ht="14.4">
      <c r="A76" s="5" t="s">
        <v>1042</v>
      </c>
      <c r="B76" s="4">
        <v>44396</v>
      </c>
      <c r="C76" s="5" t="s">
        <v>441</v>
      </c>
      <c r="D76" s="6" t="s">
        <v>1043</v>
      </c>
      <c r="E76" s="5">
        <v>2</v>
      </c>
      <c r="F76" t="str">
        <f>_xlfn.XLOOKUP(C76,customer_data!$B$1:$B$165,customer_data!$C$1:$C$165,,0)</f>
        <v>Jennifer Rangall</v>
      </c>
      <c r="G76" t="str">
        <f>IF(_xlfn.XLOOKUP(C76,customer_data!$B$1:$B$165,customer_data!$D$1:$D$165,,0)=0,"",_xlfn.XLOOKUP(C76,customer_data!$B$1:$B$165,customer_data!$D$1:$D$165,,0))</f>
        <v>jrangall22@newsvine.com</v>
      </c>
      <c r="H76" t="str">
        <f>_xlfn.XLOOKUP(C76,customer_data!$B$1:$B$165,customer_data!$H$1:$H$165,,0)</f>
        <v>United States</v>
      </c>
      <c r="I76" t="str">
        <f>INDEX(Product_data!$A$1:$G$49,MATCH(order_data!$D76,Product_data!$A$1:$A$49,0),MATCH(order_data!I$1,Product_data!$A$1:$G$1,0))</f>
        <v>Excelsa</v>
      </c>
      <c r="J76" t="str">
        <f>INDEX(Product_data!$A$1:$G$49,MATCH(order_data!$D76,Product_data!$A$1:$A$49,0),MATCH(order_data!J$1,Product_data!$A$1:$G$1,0))</f>
        <v>Light Roast</v>
      </c>
      <c r="K76">
        <f>INDEX(Product_data!$A$1:$G$49,MATCH(order_data!$D76,Product_data!$A$1:$A$49,0),MATCH(order_data!K$1,Product_data!$A$1:$G$1,0))</f>
        <v>0.5</v>
      </c>
      <c r="L76">
        <f>INDEX(Product_data!$A$1:$G$49,MATCH(order_data!$D76,Product_data!$A$1:$A$49,0),MATCH(order_data!L$1,Product_data!$A$1:$G$1,0))</f>
        <v>8.91</v>
      </c>
      <c r="M76">
        <f t="shared" si="1"/>
        <v>17.82</v>
      </c>
    </row>
    <row r="77" spans="1:13" ht="14.4">
      <c r="A77" s="5" t="s">
        <v>1044</v>
      </c>
      <c r="B77" s="4">
        <v>44400</v>
      </c>
      <c r="C77" s="5" t="s">
        <v>446</v>
      </c>
      <c r="D77" s="6" t="s">
        <v>1045</v>
      </c>
      <c r="E77" s="5">
        <v>6</v>
      </c>
      <c r="F77" t="str">
        <f>_xlfn.XLOOKUP(C77,customer_data!$B$1:$B$165,customer_data!$C$1:$C$165,,0)</f>
        <v>Kipper Boorn</v>
      </c>
      <c r="G77" t="str">
        <f>IF(_xlfn.XLOOKUP(C77,customer_data!$B$1:$B$165,customer_data!$D$1:$D$165,,0)=0,"",_xlfn.XLOOKUP(C77,customer_data!$B$1:$B$165,customer_data!$D$1:$D$165,,0))</f>
        <v>kboorn23@ezinearticles.com</v>
      </c>
      <c r="H77" t="str">
        <f>_xlfn.XLOOKUP(C77,customer_data!$B$1:$B$165,customer_data!$H$1:$H$165,,0)</f>
        <v>Ireland</v>
      </c>
      <c r="I77" t="str">
        <f>INDEX(Product_data!$A$1:$G$49,MATCH(order_data!$D77,Product_data!$A$1:$A$49,0),MATCH(order_data!I$1,Product_data!$A$1:$G$1,0))</f>
        <v>Robusta</v>
      </c>
      <c r="J77" t="str">
        <f>INDEX(Product_data!$A$1:$G$49,MATCH(order_data!$D77,Product_data!$A$1:$A$49,0),MATCH(order_data!J$1,Product_data!$A$1:$G$1,0))</f>
        <v>Dark Roast</v>
      </c>
      <c r="K77">
        <f>INDEX(Product_data!$A$1:$G$49,MATCH(order_data!$D77,Product_data!$A$1:$A$49,0),MATCH(order_data!K$1,Product_data!$A$1:$G$1,0))</f>
        <v>1</v>
      </c>
      <c r="L77">
        <f>INDEX(Product_data!$A$1:$G$49,MATCH(order_data!$D77,Product_data!$A$1:$A$49,0),MATCH(order_data!L$1,Product_data!$A$1:$G$1,0))</f>
        <v>8.9499999999999993</v>
      </c>
      <c r="M77">
        <f t="shared" si="1"/>
        <v>53.699999999999996</v>
      </c>
    </row>
    <row r="78" spans="1:13" ht="14.4">
      <c r="A78" s="5" t="s">
        <v>1046</v>
      </c>
      <c r="B78" s="4">
        <v>43855</v>
      </c>
      <c r="C78" s="5" t="s">
        <v>453</v>
      </c>
      <c r="D78" s="6" t="s">
        <v>1047</v>
      </c>
      <c r="E78" s="5">
        <v>1</v>
      </c>
      <c r="F78" t="str">
        <f>_xlfn.XLOOKUP(C78,customer_data!$B$1:$B$165,customer_data!$C$1:$C$165,,0)</f>
        <v>Melania Beadle</v>
      </c>
      <c r="G78" t="str">
        <f>IF(_xlfn.XLOOKUP(C78,customer_data!$B$1:$B$165,customer_data!$D$1:$D$165,,0)=0,"",_xlfn.XLOOKUP(C78,customer_data!$B$1:$B$165,customer_data!$D$1:$D$165,,0))</f>
        <v/>
      </c>
      <c r="H78" t="str">
        <f>_xlfn.XLOOKUP(C78,customer_data!$B$1:$B$165,customer_data!$H$1:$H$165,,0)</f>
        <v>Ireland</v>
      </c>
      <c r="I78" t="str">
        <f>INDEX(Product_data!$A$1:$G$49,MATCH(order_data!$D78,Product_data!$A$1:$A$49,0),MATCH(order_data!I$1,Product_data!$A$1:$G$1,0))</f>
        <v>Robusta</v>
      </c>
      <c r="J78" t="str">
        <f>INDEX(Product_data!$A$1:$G$49,MATCH(order_data!$D78,Product_data!$A$1:$A$49,0),MATCH(order_data!J$1,Product_data!$A$1:$G$1,0))</f>
        <v>Light Roast</v>
      </c>
      <c r="K78">
        <f>INDEX(Product_data!$A$1:$G$49,MATCH(order_data!$D78,Product_data!$A$1:$A$49,0),MATCH(order_data!K$1,Product_data!$A$1:$G$1,0))</f>
        <v>0.2</v>
      </c>
      <c r="L78">
        <f>INDEX(Product_data!$A$1:$G$49,MATCH(order_data!$D78,Product_data!$A$1:$A$49,0),MATCH(order_data!L$1,Product_data!$A$1:$G$1,0))</f>
        <v>3.5849999999999995</v>
      </c>
      <c r="M78">
        <f t="shared" si="1"/>
        <v>3.5849999999999995</v>
      </c>
    </row>
    <row r="79" spans="1:13" ht="14.4">
      <c r="A79" s="5" t="s">
        <v>1048</v>
      </c>
      <c r="B79" s="4">
        <v>43594</v>
      </c>
      <c r="C79" s="5" t="s">
        <v>459</v>
      </c>
      <c r="D79" s="6" t="s">
        <v>969</v>
      </c>
      <c r="E79" s="5">
        <v>2</v>
      </c>
      <c r="F79" t="str">
        <f>_xlfn.XLOOKUP(C79,customer_data!$B$1:$B$165,customer_data!$C$1:$C$165,,0)</f>
        <v>Colene Elgey</v>
      </c>
      <c r="G79" t="str">
        <f>IF(_xlfn.XLOOKUP(C79,customer_data!$B$1:$B$165,customer_data!$D$1:$D$165,,0)=0,"",_xlfn.XLOOKUP(C79,customer_data!$B$1:$B$165,customer_data!$D$1:$D$165,,0))</f>
        <v>celgey25@webs.com</v>
      </c>
      <c r="H79" t="str">
        <f>_xlfn.XLOOKUP(C79,customer_data!$B$1:$B$165,customer_data!$H$1:$H$165,,0)</f>
        <v>United States</v>
      </c>
      <c r="I79" t="str">
        <f>INDEX(Product_data!$A$1:$G$49,MATCH(order_data!$D79,Product_data!$A$1:$A$49,0),MATCH(order_data!I$1,Product_data!$A$1:$G$1,0))</f>
        <v>Excelsa</v>
      </c>
      <c r="J79" t="str">
        <f>INDEX(Product_data!$A$1:$G$49,MATCH(order_data!$D79,Product_data!$A$1:$A$49,0),MATCH(order_data!J$1,Product_data!$A$1:$G$1,0))</f>
        <v>Dark Roast</v>
      </c>
      <c r="K79">
        <f>INDEX(Product_data!$A$1:$G$49,MATCH(order_data!$D79,Product_data!$A$1:$A$49,0),MATCH(order_data!K$1,Product_data!$A$1:$G$1,0))</f>
        <v>0.2</v>
      </c>
      <c r="L79">
        <f>INDEX(Product_data!$A$1:$G$49,MATCH(order_data!$D79,Product_data!$A$1:$A$49,0),MATCH(order_data!L$1,Product_data!$A$1:$G$1,0))</f>
        <v>3.645</v>
      </c>
      <c r="M79">
        <f t="shared" si="1"/>
        <v>7.29</v>
      </c>
    </row>
    <row r="80" spans="1:13" ht="14.4">
      <c r="A80" s="5" t="s">
        <v>1049</v>
      </c>
      <c r="B80" s="4">
        <v>43920</v>
      </c>
      <c r="C80" s="5" t="s">
        <v>465</v>
      </c>
      <c r="D80" s="6" t="s">
        <v>979</v>
      </c>
      <c r="E80" s="5">
        <v>6</v>
      </c>
      <c r="F80" t="str">
        <f>_xlfn.XLOOKUP(C80,customer_data!$B$1:$B$165,customer_data!$C$1:$C$165,,0)</f>
        <v>Lothaire Mizzi</v>
      </c>
      <c r="G80" t="str">
        <f>IF(_xlfn.XLOOKUP(C80,customer_data!$B$1:$B$165,customer_data!$D$1:$D$165,,0)=0,"",_xlfn.XLOOKUP(C80,customer_data!$B$1:$B$165,customer_data!$D$1:$D$165,,0))</f>
        <v>lmizzi26@rakuten.co.jp</v>
      </c>
      <c r="H80" t="str">
        <f>_xlfn.XLOOKUP(C80,customer_data!$B$1:$B$165,customer_data!$H$1:$H$165,,0)</f>
        <v>United States</v>
      </c>
      <c r="I80" t="str">
        <f>INDEX(Product_data!$A$1:$G$49,MATCH(order_data!$D80,Product_data!$A$1:$A$49,0),MATCH(order_data!I$1,Product_data!$A$1:$G$1,0))</f>
        <v>Arabica</v>
      </c>
      <c r="J80" t="str">
        <f>INDEX(Product_data!$A$1:$G$49,MATCH(order_data!$D80,Product_data!$A$1:$A$49,0),MATCH(order_data!J$1,Product_data!$A$1:$G$1,0))</f>
        <v>Medium Roast</v>
      </c>
      <c r="K80">
        <f>INDEX(Product_data!$A$1:$G$49,MATCH(order_data!$D80,Product_data!$A$1:$A$49,0),MATCH(order_data!K$1,Product_data!$A$1:$G$1,0))</f>
        <v>0.5</v>
      </c>
      <c r="L80">
        <f>INDEX(Product_data!$A$1:$G$49,MATCH(order_data!$D80,Product_data!$A$1:$A$49,0),MATCH(order_data!L$1,Product_data!$A$1:$G$1,0))</f>
        <v>6.75</v>
      </c>
      <c r="M80">
        <f t="shared" si="1"/>
        <v>40.5</v>
      </c>
    </row>
    <row r="81" spans="1:13" ht="14.4">
      <c r="A81" s="5" t="s">
        <v>1050</v>
      </c>
      <c r="B81" s="4">
        <v>44633</v>
      </c>
      <c r="C81" s="5" t="s">
        <v>471</v>
      </c>
      <c r="D81" s="6" t="s">
        <v>1051</v>
      </c>
      <c r="E81" s="5">
        <v>4</v>
      </c>
      <c r="F81" t="str">
        <f>_xlfn.XLOOKUP(C81,customer_data!$B$1:$B$165,customer_data!$C$1:$C$165,,0)</f>
        <v>Cletis Giacomazzo</v>
      </c>
      <c r="G81" t="str">
        <f>IF(_xlfn.XLOOKUP(C81,customer_data!$B$1:$B$165,customer_data!$D$1:$D$165,,0)=0,"",_xlfn.XLOOKUP(C81,customer_data!$B$1:$B$165,customer_data!$D$1:$D$165,,0))</f>
        <v>cgiacomazzo27@jigsy.com</v>
      </c>
      <c r="H81" t="str">
        <f>_xlfn.XLOOKUP(C81,customer_data!$B$1:$B$165,customer_data!$H$1:$H$165,,0)</f>
        <v>United States</v>
      </c>
      <c r="I81" t="str">
        <f>INDEX(Product_data!$A$1:$G$49,MATCH(order_data!$D81,Product_data!$A$1:$A$49,0),MATCH(order_data!I$1,Product_data!$A$1:$G$1,0))</f>
        <v>Robusta</v>
      </c>
      <c r="J81" t="str">
        <f>INDEX(Product_data!$A$1:$G$49,MATCH(order_data!$D81,Product_data!$A$1:$A$49,0),MATCH(order_data!J$1,Product_data!$A$1:$G$1,0))</f>
        <v>Light Roast</v>
      </c>
      <c r="K81">
        <f>INDEX(Product_data!$A$1:$G$49,MATCH(order_data!$D81,Product_data!$A$1:$A$49,0),MATCH(order_data!K$1,Product_data!$A$1:$G$1,0))</f>
        <v>1</v>
      </c>
      <c r="L81">
        <f>INDEX(Product_data!$A$1:$G$49,MATCH(order_data!$D81,Product_data!$A$1:$A$49,0),MATCH(order_data!L$1,Product_data!$A$1:$G$1,0))</f>
        <v>11.95</v>
      </c>
      <c r="M81">
        <f t="shared" si="1"/>
        <v>47.8</v>
      </c>
    </row>
    <row r="82" spans="1:13" ht="14.4">
      <c r="A82" s="5" t="s">
        <v>1052</v>
      </c>
      <c r="B82" s="4">
        <v>43572</v>
      </c>
      <c r="C82" s="5" t="s">
        <v>477</v>
      </c>
      <c r="D82" s="6" t="s">
        <v>1053</v>
      </c>
      <c r="E82" s="5">
        <v>5</v>
      </c>
      <c r="F82" t="str">
        <f>_xlfn.XLOOKUP(C82,customer_data!$B$1:$B$165,customer_data!$C$1:$C$165,,0)</f>
        <v>Ami Arnow</v>
      </c>
      <c r="G82" t="str">
        <f>IF(_xlfn.XLOOKUP(C82,customer_data!$B$1:$B$165,customer_data!$D$1:$D$165,,0)=0,"",_xlfn.XLOOKUP(C82,customer_data!$B$1:$B$165,customer_data!$D$1:$D$165,,0))</f>
        <v>aarnow28@arizona.edu</v>
      </c>
      <c r="H82" t="str">
        <f>_xlfn.XLOOKUP(C82,customer_data!$B$1:$B$165,customer_data!$H$1:$H$165,,0)</f>
        <v>United States</v>
      </c>
      <c r="I82" t="str">
        <f>INDEX(Product_data!$A$1:$G$49,MATCH(order_data!$D82,Product_data!$A$1:$A$49,0),MATCH(order_data!I$1,Product_data!$A$1:$G$1,0))</f>
        <v>Arabica</v>
      </c>
      <c r="J82" t="str">
        <f>INDEX(Product_data!$A$1:$G$49,MATCH(order_data!$D82,Product_data!$A$1:$A$49,0),MATCH(order_data!J$1,Product_data!$A$1:$G$1,0))</f>
        <v>Light Roast</v>
      </c>
      <c r="K82">
        <f>INDEX(Product_data!$A$1:$G$49,MATCH(order_data!$D82,Product_data!$A$1:$A$49,0),MATCH(order_data!K$1,Product_data!$A$1:$G$1,0))</f>
        <v>0.5</v>
      </c>
      <c r="L82">
        <f>INDEX(Product_data!$A$1:$G$49,MATCH(order_data!$D82,Product_data!$A$1:$A$49,0),MATCH(order_data!L$1,Product_data!$A$1:$G$1,0))</f>
        <v>7.77</v>
      </c>
      <c r="M82">
        <f t="shared" si="1"/>
        <v>38.849999999999994</v>
      </c>
    </row>
    <row r="83" spans="1:13" ht="14.4">
      <c r="A83" s="5" t="s">
        <v>1054</v>
      </c>
      <c r="B83" s="4">
        <v>43763</v>
      </c>
      <c r="C83" s="5" t="s">
        <v>483</v>
      </c>
      <c r="D83" s="6" t="s">
        <v>1001</v>
      </c>
      <c r="E83" s="5">
        <v>3</v>
      </c>
      <c r="F83" t="str">
        <f>_xlfn.XLOOKUP(C83,customer_data!$B$1:$B$165,customer_data!$C$1:$C$165,,0)</f>
        <v>Sheppard Yann</v>
      </c>
      <c r="G83" t="str">
        <f>IF(_xlfn.XLOOKUP(C83,customer_data!$B$1:$B$165,customer_data!$D$1:$D$165,,0)=0,"",_xlfn.XLOOKUP(C83,customer_data!$B$1:$B$165,customer_data!$D$1:$D$165,,0))</f>
        <v>syann29@senate.gov</v>
      </c>
      <c r="H83" t="str">
        <f>_xlfn.XLOOKUP(C83,customer_data!$B$1:$B$165,customer_data!$H$1:$H$165,,0)</f>
        <v>United States</v>
      </c>
      <c r="I83" t="str">
        <f>INDEX(Product_data!$A$1:$G$49,MATCH(order_data!$D83,Product_data!$A$1:$A$49,0),MATCH(order_data!I$1,Product_data!$A$1:$G$1,0))</f>
        <v>Liberica</v>
      </c>
      <c r="J83" t="str">
        <f>INDEX(Product_data!$A$1:$G$49,MATCH(order_data!$D83,Product_data!$A$1:$A$49,0),MATCH(order_data!J$1,Product_data!$A$1:$G$1,0))</f>
        <v>Light Roast</v>
      </c>
      <c r="K83">
        <f>INDEX(Product_data!$A$1:$G$49,MATCH(order_data!$D83,Product_data!$A$1:$A$49,0),MATCH(order_data!K$1,Product_data!$A$1:$G$1,0))</f>
        <v>2.5</v>
      </c>
      <c r="L83">
        <f>INDEX(Product_data!$A$1:$G$49,MATCH(order_data!$D83,Product_data!$A$1:$A$49,0),MATCH(order_data!L$1,Product_data!$A$1:$G$1,0))</f>
        <v>36.454999999999998</v>
      </c>
      <c r="M83">
        <f t="shared" si="1"/>
        <v>109.36499999999999</v>
      </c>
    </row>
    <row r="84" spans="1:13" ht="14.4">
      <c r="A84" s="5" t="s">
        <v>1055</v>
      </c>
      <c r="B84" s="4">
        <v>43721</v>
      </c>
      <c r="C84" s="5" t="s">
        <v>489</v>
      </c>
      <c r="D84" s="6" t="s">
        <v>1056</v>
      </c>
      <c r="E84" s="5">
        <v>3</v>
      </c>
      <c r="F84" t="str">
        <f>_xlfn.XLOOKUP(C84,customer_data!$B$1:$B$165,customer_data!$C$1:$C$165,,0)</f>
        <v>Bunny Naulls</v>
      </c>
      <c r="G84" t="str">
        <f>IF(_xlfn.XLOOKUP(C84,customer_data!$B$1:$B$165,customer_data!$D$1:$D$165,,0)=0,"",_xlfn.XLOOKUP(C84,customer_data!$B$1:$B$165,customer_data!$D$1:$D$165,,0))</f>
        <v>bnaulls2a@tiny.cc</v>
      </c>
      <c r="H84" t="str">
        <f>_xlfn.XLOOKUP(C84,customer_data!$B$1:$B$165,customer_data!$H$1:$H$165,,0)</f>
        <v>Ireland</v>
      </c>
      <c r="I84" t="str">
        <f>INDEX(Product_data!$A$1:$G$49,MATCH(order_data!$D84,Product_data!$A$1:$A$49,0),MATCH(order_data!I$1,Product_data!$A$1:$G$1,0))</f>
        <v>Liberica</v>
      </c>
      <c r="J84" t="str">
        <f>INDEX(Product_data!$A$1:$G$49,MATCH(order_data!$D84,Product_data!$A$1:$A$49,0),MATCH(order_data!J$1,Product_data!$A$1:$G$1,0))</f>
        <v>Medium Roast</v>
      </c>
      <c r="K84">
        <f>INDEX(Product_data!$A$1:$G$49,MATCH(order_data!$D84,Product_data!$A$1:$A$49,0),MATCH(order_data!K$1,Product_data!$A$1:$G$1,0))</f>
        <v>2.5</v>
      </c>
      <c r="L84">
        <f>INDEX(Product_data!$A$1:$G$49,MATCH(order_data!$D84,Product_data!$A$1:$A$49,0),MATCH(order_data!L$1,Product_data!$A$1:$G$1,0))</f>
        <v>33.464999999999996</v>
      </c>
      <c r="M84">
        <f t="shared" si="1"/>
        <v>100.39499999999998</v>
      </c>
    </row>
    <row r="85" spans="1:13" ht="14.4">
      <c r="A85" s="5" t="s">
        <v>1057</v>
      </c>
      <c r="B85" s="4">
        <v>43933</v>
      </c>
      <c r="C85" s="5" t="s">
        <v>496</v>
      </c>
      <c r="D85" s="6" t="s">
        <v>959</v>
      </c>
      <c r="E85" s="5">
        <v>4</v>
      </c>
      <c r="F85" t="str">
        <f>_xlfn.XLOOKUP(C85,customer_data!$B$1:$B$165,customer_data!$C$1:$C$165,,0)</f>
        <v>Hally Lorait</v>
      </c>
      <c r="G85" t="str">
        <f>IF(_xlfn.XLOOKUP(C85,customer_data!$B$1:$B$165,customer_data!$D$1:$D$165,,0)=0,"",_xlfn.XLOOKUP(C85,customer_data!$B$1:$B$165,customer_data!$D$1:$D$165,,0))</f>
        <v/>
      </c>
      <c r="H85" t="str">
        <f>_xlfn.XLOOKUP(C85,customer_data!$B$1:$B$165,customer_data!$H$1:$H$165,,0)</f>
        <v>United States</v>
      </c>
      <c r="I85" t="str">
        <f>INDEX(Product_data!$A$1:$G$49,MATCH(order_data!$D85,Product_data!$A$1:$A$49,0),MATCH(order_data!I$1,Product_data!$A$1:$G$1,0))</f>
        <v>Robusta</v>
      </c>
      <c r="J85" t="str">
        <f>INDEX(Product_data!$A$1:$G$49,MATCH(order_data!$D85,Product_data!$A$1:$A$49,0),MATCH(order_data!J$1,Product_data!$A$1:$G$1,0))</f>
        <v>Dark Roast</v>
      </c>
      <c r="K85">
        <f>INDEX(Product_data!$A$1:$G$49,MATCH(order_data!$D85,Product_data!$A$1:$A$49,0),MATCH(order_data!K$1,Product_data!$A$1:$G$1,0))</f>
        <v>2.5</v>
      </c>
      <c r="L85">
        <f>INDEX(Product_data!$A$1:$G$49,MATCH(order_data!$D85,Product_data!$A$1:$A$49,0),MATCH(order_data!L$1,Product_data!$A$1:$G$1,0))</f>
        <v>20.584999999999997</v>
      </c>
      <c r="M85">
        <f t="shared" si="1"/>
        <v>82.339999999999989</v>
      </c>
    </row>
    <row r="86" spans="1:13" ht="14.4">
      <c r="A86" s="5" t="s">
        <v>1058</v>
      </c>
      <c r="B86" s="4">
        <v>43783</v>
      </c>
      <c r="C86" s="5" t="s">
        <v>501</v>
      </c>
      <c r="D86" s="6" t="s">
        <v>989</v>
      </c>
      <c r="E86" s="5">
        <v>1</v>
      </c>
      <c r="F86" t="str">
        <f>_xlfn.XLOOKUP(C86,customer_data!$B$1:$B$165,customer_data!$C$1:$C$165,,0)</f>
        <v>Zaccaria Sherewood</v>
      </c>
      <c r="G86" t="str">
        <f>IF(_xlfn.XLOOKUP(C86,customer_data!$B$1:$B$165,customer_data!$D$1:$D$165,,0)=0,"",_xlfn.XLOOKUP(C86,customer_data!$B$1:$B$165,customer_data!$D$1:$D$165,,0))</f>
        <v>zsherewood2c@apache.org</v>
      </c>
      <c r="H86" t="str">
        <f>_xlfn.XLOOKUP(C86,customer_data!$B$1:$B$165,customer_data!$H$1:$H$165,,0)</f>
        <v>United States</v>
      </c>
      <c r="I86" t="str">
        <f>INDEX(Product_data!$A$1:$G$49,MATCH(order_data!$D86,Product_data!$A$1:$A$49,0),MATCH(order_data!I$1,Product_data!$A$1:$G$1,0))</f>
        <v>Liberica</v>
      </c>
      <c r="J86" t="str">
        <f>INDEX(Product_data!$A$1:$G$49,MATCH(order_data!$D86,Product_data!$A$1:$A$49,0),MATCH(order_data!J$1,Product_data!$A$1:$G$1,0))</f>
        <v>Light Roast</v>
      </c>
      <c r="K86">
        <f>INDEX(Product_data!$A$1:$G$49,MATCH(order_data!$D86,Product_data!$A$1:$A$49,0),MATCH(order_data!K$1,Product_data!$A$1:$G$1,0))</f>
        <v>0.5</v>
      </c>
      <c r="L86">
        <f>INDEX(Product_data!$A$1:$G$49,MATCH(order_data!$D86,Product_data!$A$1:$A$49,0),MATCH(order_data!L$1,Product_data!$A$1:$G$1,0))</f>
        <v>9.51</v>
      </c>
      <c r="M86">
        <f t="shared" si="1"/>
        <v>9.51</v>
      </c>
    </row>
    <row r="87" spans="1:13" ht="14.4">
      <c r="A87" s="5" t="s">
        <v>1059</v>
      </c>
      <c r="B87" s="4">
        <v>43664</v>
      </c>
      <c r="C87" s="5" t="s">
        <v>507</v>
      </c>
      <c r="D87" s="6" t="s">
        <v>1060</v>
      </c>
      <c r="E87" s="5">
        <v>3</v>
      </c>
      <c r="F87" t="str">
        <f>_xlfn.XLOOKUP(C87,customer_data!$B$1:$B$165,customer_data!$C$1:$C$165,,0)</f>
        <v>Jeffrey Dufaire</v>
      </c>
      <c r="G87" t="str">
        <f>IF(_xlfn.XLOOKUP(C87,customer_data!$B$1:$B$165,customer_data!$D$1:$D$165,,0)=0,"",_xlfn.XLOOKUP(C87,customer_data!$B$1:$B$165,customer_data!$D$1:$D$165,,0))</f>
        <v>jdufaire2d@fc2.com</v>
      </c>
      <c r="H87" t="str">
        <f>_xlfn.XLOOKUP(C87,customer_data!$B$1:$B$165,customer_data!$H$1:$H$165,,0)</f>
        <v>United States</v>
      </c>
      <c r="I87" t="str">
        <f>INDEX(Product_data!$A$1:$G$49,MATCH(order_data!$D87,Product_data!$A$1:$A$49,0),MATCH(order_data!I$1,Product_data!$A$1:$G$1,0))</f>
        <v>Arabica</v>
      </c>
      <c r="J87" t="str">
        <f>INDEX(Product_data!$A$1:$G$49,MATCH(order_data!$D87,Product_data!$A$1:$A$49,0),MATCH(order_data!J$1,Product_data!$A$1:$G$1,0))</f>
        <v>Light Roast</v>
      </c>
      <c r="K87">
        <f>INDEX(Product_data!$A$1:$G$49,MATCH(order_data!$D87,Product_data!$A$1:$A$49,0),MATCH(order_data!K$1,Product_data!$A$1:$G$1,0))</f>
        <v>2.5</v>
      </c>
      <c r="L87">
        <f>INDEX(Product_data!$A$1:$G$49,MATCH(order_data!$D87,Product_data!$A$1:$A$49,0),MATCH(order_data!L$1,Product_data!$A$1:$G$1,0))</f>
        <v>29.784999999999997</v>
      </c>
      <c r="M87">
        <f t="shared" si="1"/>
        <v>89.35499999999999</v>
      </c>
    </row>
    <row r="88" spans="1:13" ht="14.4">
      <c r="A88" s="5" t="s">
        <v>1059</v>
      </c>
      <c r="B88" s="4">
        <v>43664</v>
      </c>
      <c r="C88" s="5" t="s">
        <v>507</v>
      </c>
      <c r="D88" s="6" t="s">
        <v>971</v>
      </c>
      <c r="E88" s="5">
        <v>4</v>
      </c>
      <c r="F88" t="str">
        <f>_xlfn.XLOOKUP(C88,customer_data!$B$1:$B$165,customer_data!$C$1:$C$165,,0)</f>
        <v>Jeffrey Dufaire</v>
      </c>
      <c r="G88" t="str">
        <f>IF(_xlfn.XLOOKUP(C88,customer_data!$B$1:$B$165,customer_data!$D$1:$D$165,,0)=0,"",_xlfn.XLOOKUP(C88,customer_data!$B$1:$B$165,customer_data!$D$1:$D$165,,0))</f>
        <v>jdufaire2d@fc2.com</v>
      </c>
      <c r="H88" t="str">
        <f>_xlfn.XLOOKUP(C88,customer_data!$B$1:$B$165,customer_data!$H$1:$H$165,,0)</f>
        <v>United States</v>
      </c>
      <c r="I88" t="str">
        <f>INDEX(Product_data!$A$1:$G$49,MATCH(order_data!$D88,Product_data!$A$1:$A$49,0),MATCH(order_data!I$1,Product_data!$A$1:$G$1,0))</f>
        <v>Arabica</v>
      </c>
      <c r="J88" t="str">
        <f>INDEX(Product_data!$A$1:$G$49,MATCH(order_data!$D88,Product_data!$A$1:$A$49,0),MATCH(order_data!J$1,Product_data!$A$1:$G$1,0))</f>
        <v>Dark Roast</v>
      </c>
      <c r="K88">
        <f>INDEX(Product_data!$A$1:$G$49,MATCH(order_data!$D88,Product_data!$A$1:$A$49,0),MATCH(order_data!K$1,Product_data!$A$1:$G$1,0))</f>
        <v>0.2</v>
      </c>
      <c r="L88">
        <f>INDEX(Product_data!$A$1:$G$49,MATCH(order_data!$D88,Product_data!$A$1:$A$49,0),MATCH(order_data!L$1,Product_data!$A$1:$G$1,0))</f>
        <v>2.9849999999999999</v>
      </c>
      <c r="M88">
        <f t="shared" si="1"/>
        <v>11.94</v>
      </c>
    </row>
    <row r="89" spans="1:13" ht="14.4">
      <c r="A89" s="5" t="s">
        <v>1061</v>
      </c>
      <c r="B89" s="4">
        <v>44289</v>
      </c>
      <c r="C89" s="5" t="s">
        <v>516</v>
      </c>
      <c r="D89" s="6" t="s">
        <v>975</v>
      </c>
      <c r="E89" s="5">
        <v>3</v>
      </c>
      <c r="F89" t="str">
        <f>_xlfn.XLOOKUP(C89,customer_data!$B$1:$B$165,customer_data!$C$1:$C$165,,0)</f>
        <v>Beitris Keaveney</v>
      </c>
      <c r="G89" t="str">
        <f>IF(_xlfn.XLOOKUP(C89,customer_data!$B$1:$B$165,customer_data!$D$1:$D$165,,0)=0,"",_xlfn.XLOOKUP(C89,customer_data!$B$1:$B$165,customer_data!$D$1:$D$165,,0))</f>
        <v>bkeaveney2f@netlog.com</v>
      </c>
      <c r="H89" t="str">
        <f>_xlfn.XLOOKUP(C89,customer_data!$B$1:$B$165,customer_data!$H$1:$H$165,,0)</f>
        <v>United States</v>
      </c>
      <c r="I89" t="str">
        <f>INDEX(Product_data!$A$1:$G$49,MATCH(order_data!$D89,Product_data!$A$1:$A$49,0),MATCH(order_data!I$1,Product_data!$A$1:$G$1,0))</f>
        <v>Arabica</v>
      </c>
      <c r="J89" t="str">
        <f>INDEX(Product_data!$A$1:$G$49,MATCH(order_data!$D89,Product_data!$A$1:$A$49,0),MATCH(order_data!J$1,Product_data!$A$1:$G$1,0))</f>
        <v>Medium Roast</v>
      </c>
      <c r="K89">
        <f>INDEX(Product_data!$A$1:$G$49,MATCH(order_data!$D89,Product_data!$A$1:$A$49,0),MATCH(order_data!K$1,Product_data!$A$1:$G$1,0))</f>
        <v>1</v>
      </c>
      <c r="L89">
        <f>INDEX(Product_data!$A$1:$G$49,MATCH(order_data!$D89,Product_data!$A$1:$A$49,0),MATCH(order_data!L$1,Product_data!$A$1:$G$1,0))</f>
        <v>11.25</v>
      </c>
      <c r="M89">
        <f t="shared" si="1"/>
        <v>33.75</v>
      </c>
    </row>
    <row r="90" spans="1:13" ht="14.4">
      <c r="A90" s="5" t="s">
        <v>1062</v>
      </c>
      <c r="B90" s="4">
        <v>44284</v>
      </c>
      <c r="C90" s="5" t="s">
        <v>521</v>
      </c>
      <c r="D90" s="6" t="s">
        <v>1051</v>
      </c>
      <c r="E90" s="5">
        <v>3</v>
      </c>
      <c r="F90" t="str">
        <f>_xlfn.XLOOKUP(C90,customer_data!$B$1:$B$165,customer_data!$C$1:$C$165,,0)</f>
        <v>Elna Grise</v>
      </c>
      <c r="G90" t="str">
        <f>IF(_xlfn.XLOOKUP(C90,customer_data!$B$1:$B$165,customer_data!$D$1:$D$165,,0)=0,"",_xlfn.XLOOKUP(C90,customer_data!$B$1:$B$165,customer_data!$D$1:$D$165,,0))</f>
        <v>egrise2g@cargocollective.com</v>
      </c>
      <c r="H90" t="str">
        <f>_xlfn.XLOOKUP(C90,customer_data!$B$1:$B$165,customer_data!$H$1:$H$165,,0)</f>
        <v>United States</v>
      </c>
      <c r="I90" t="str">
        <f>INDEX(Product_data!$A$1:$G$49,MATCH(order_data!$D90,Product_data!$A$1:$A$49,0),MATCH(order_data!I$1,Product_data!$A$1:$G$1,0))</f>
        <v>Robusta</v>
      </c>
      <c r="J90" t="str">
        <f>INDEX(Product_data!$A$1:$G$49,MATCH(order_data!$D90,Product_data!$A$1:$A$49,0),MATCH(order_data!J$1,Product_data!$A$1:$G$1,0))</f>
        <v>Light Roast</v>
      </c>
      <c r="K90">
        <f>INDEX(Product_data!$A$1:$G$49,MATCH(order_data!$D90,Product_data!$A$1:$A$49,0),MATCH(order_data!K$1,Product_data!$A$1:$G$1,0))</f>
        <v>1</v>
      </c>
      <c r="L90">
        <f>INDEX(Product_data!$A$1:$G$49,MATCH(order_data!$D90,Product_data!$A$1:$A$49,0),MATCH(order_data!L$1,Product_data!$A$1:$G$1,0))</f>
        <v>11.95</v>
      </c>
      <c r="M90">
        <f t="shared" si="1"/>
        <v>35.849999999999994</v>
      </c>
    </row>
    <row r="91" spans="1:13" ht="14.4">
      <c r="A91" s="5" t="s">
        <v>1063</v>
      </c>
      <c r="B91" s="4">
        <v>44545</v>
      </c>
      <c r="C91" s="5" t="s">
        <v>526</v>
      </c>
      <c r="D91" s="6" t="s">
        <v>940</v>
      </c>
      <c r="E91" s="5">
        <v>6</v>
      </c>
      <c r="F91" t="str">
        <f>_xlfn.XLOOKUP(C91,customer_data!$B$1:$B$165,customer_data!$C$1:$C$165,,0)</f>
        <v>Torie Gottelier</v>
      </c>
      <c r="G91" t="str">
        <f>IF(_xlfn.XLOOKUP(C91,customer_data!$B$1:$B$165,customer_data!$D$1:$D$165,,0)=0,"",_xlfn.XLOOKUP(C91,customer_data!$B$1:$B$165,customer_data!$D$1:$D$165,,0))</f>
        <v>tgottelier2h@vistaprint.com</v>
      </c>
      <c r="H91" t="str">
        <f>_xlfn.XLOOKUP(C91,customer_data!$B$1:$B$165,customer_data!$H$1:$H$165,,0)</f>
        <v>United States</v>
      </c>
      <c r="I91" t="str">
        <f>INDEX(Product_data!$A$1:$G$49,MATCH(order_data!$D91,Product_data!$A$1:$A$49,0),MATCH(order_data!I$1,Product_data!$A$1:$G$1,0))</f>
        <v>Arabica</v>
      </c>
      <c r="J91" t="str">
        <f>INDEX(Product_data!$A$1:$G$49,MATCH(order_data!$D91,Product_data!$A$1:$A$49,0),MATCH(order_data!J$1,Product_data!$A$1:$G$1,0))</f>
        <v>Light Roast</v>
      </c>
      <c r="K91">
        <f>INDEX(Product_data!$A$1:$G$49,MATCH(order_data!$D91,Product_data!$A$1:$A$49,0),MATCH(order_data!K$1,Product_data!$A$1:$G$1,0))</f>
        <v>1</v>
      </c>
      <c r="L91">
        <f>INDEX(Product_data!$A$1:$G$49,MATCH(order_data!$D91,Product_data!$A$1:$A$49,0),MATCH(order_data!L$1,Product_data!$A$1:$G$1,0))</f>
        <v>12.95</v>
      </c>
      <c r="M91">
        <f t="shared" si="1"/>
        <v>77.699999999999989</v>
      </c>
    </row>
    <row r="92" spans="1:13" ht="14.4">
      <c r="A92" s="5" t="s">
        <v>1064</v>
      </c>
      <c r="B92" s="4">
        <v>43971</v>
      </c>
      <c r="C92" s="5" t="s">
        <v>532</v>
      </c>
      <c r="D92" s="6" t="s">
        <v>940</v>
      </c>
      <c r="E92" s="5">
        <v>4</v>
      </c>
      <c r="F92" t="str">
        <f>_xlfn.XLOOKUP(C92,customer_data!$B$1:$B$165,customer_data!$C$1:$C$165,,0)</f>
        <v>Loydie Langlais</v>
      </c>
      <c r="G92" t="str">
        <f>IF(_xlfn.XLOOKUP(C92,customer_data!$B$1:$B$165,customer_data!$D$1:$D$165,,0)=0,"",_xlfn.XLOOKUP(C92,customer_data!$B$1:$B$165,customer_data!$D$1:$D$165,,0))</f>
        <v/>
      </c>
      <c r="H92" t="str">
        <f>_xlfn.XLOOKUP(C92,customer_data!$B$1:$B$165,customer_data!$H$1:$H$165,,0)</f>
        <v>Ireland</v>
      </c>
      <c r="I92" t="str">
        <f>INDEX(Product_data!$A$1:$G$49,MATCH(order_data!$D92,Product_data!$A$1:$A$49,0),MATCH(order_data!I$1,Product_data!$A$1:$G$1,0))</f>
        <v>Arabica</v>
      </c>
      <c r="J92" t="str">
        <f>INDEX(Product_data!$A$1:$G$49,MATCH(order_data!$D92,Product_data!$A$1:$A$49,0),MATCH(order_data!J$1,Product_data!$A$1:$G$1,0))</f>
        <v>Light Roast</v>
      </c>
      <c r="K92">
        <f>INDEX(Product_data!$A$1:$G$49,MATCH(order_data!$D92,Product_data!$A$1:$A$49,0),MATCH(order_data!K$1,Product_data!$A$1:$G$1,0))</f>
        <v>1</v>
      </c>
      <c r="L92">
        <f>INDEX(Product_data!$A$1:$G$49,MATCH(order_data!$D92,Product_data!$A$1:$A$49,0),MATCH(order_data!L$1,Product_data!$A$1:$G$1,0))</f>
        <v>12.95</v>
      </c>
      <c r="M92">
        <f t="shared" si="1"/>
        <v>51.8</v>
      </c>
    </row>
    <row r="93" spans="1:13" ht="14.4">
      <c r="A93" s="5" t="s">
        <v>1065</v>
      </c>
      <c r="B93" s="4">
        <v>44137</v>
      </c>
      <c r="C93" s="5" t="s">
        <v>536</v>
      </c>
      <c r="D93" s="6" t="s">
        <v>1040</v>
      </c>
      <c r="E93" s="5">
        <v>4</v>
      </c>
      <c r="F93" t="str">
        <f>_xlfn.XLOOKUP(C93,customer_data!$B$1:$B$165,customer_data!$C$1:$C$165,,0)</f>
        <v>Adham Greenhead</v>
      </c>
      <c r="G93" t="str">
        <f>IF(_xlfn.XLOOKUP(C93,customer_data!$B$1:$B$165,customer_data!$D$1:$D$165,,0)=0,"",_xlfn.XLOOKUP(C93,customer_data!$B$1:$B$165,customer_data!$D$1:$D$165,,0))</f>
        <v>agreenhead2j@dailymail.co.uk</v>
      </c>
      <c r="H93" t="str">
        <f>_xlfn.XLOOKUP(C93,customer_data!$B$1:$B$165,customer_data!$H$1:$H$165,,0)</f>
        <v>United States</v>
      </c>
      <c r="I93" t="str">
        <f>INDEX(Product_data!$A$1:$G$49,MATCH(order_data!$D93,Product_data!$A$1:$A$49,0),MATCH(order_data!I$1,Product_data!$A$1:$G$1,0))</f>
        <v>Arabica</v>
      </c>
      <c r="J93" t="str">
        <f>INDEX(Product_data!$A$1:$G$49,MATCH(order_data!$D93,Product_data!$A$1:$A$49,0),MATCH(order_data!J$1,Product_data!$A$1:$G$1,0))</f>
        <v>Medium Roast</v>
      </c>
      <c r="K93">
        <f>INDEX(Product_data!$A$1:$G$49,MATCH(order_data!$D93,Product_data!$A$1:$A$49,0),MATCH(order_data!K$1,Product_data!$A$1:$G$1,0))</f>
        <v>2.5</v>
      </c>
      <c r="L93">
        <f>INDEX(Product_data!$A$1:$G$49,MATCH(order_data!$D93,Product_data!$A$1:$A$49,0),MATCH(order_data!L$1,Product_data!$A$1:$G$1,0))</f>
        <v>25.874999999999996</v>
      </c>
      <c r="M93">
        <f t="shared" si="1"/>
        <v>103.49999999999999</v>
      </c>
    </row>
    <row r="94" spans="1:13" ht="14.4">
      <c r="A94" s="5" t="s">
        <v>1066</v>
      </c>
      <c r="B94" s="4">
        <v>44037</v>
      </c>
      <c r="C94" s="5" t="s">
        <v>542</v>
      </c>
      <c r="D94" s="6" t="s">
        <v>1021</v>
      </c>
      <c r="E94" s="5">
        <v>3</v>
      </c>
      <c r="F94" t="str">
        <f>_xlfn.XLOOKUP(C94,customer_data!$B$1:$B$165,customer_data!$C$1:$C$165,,0)</f>
        <v>Hamish MacSherry</v>
      </c>
      <c r="G94" t="str">
        <f>IF(_xlfn.XLOOKUP(C94,customer_data!$B$1:$B$165,customer_data!$D$1:$D$165,,0)=0,"",_xlfn.XLOOKUP(C94,customer_data!$B$1:$B$165,customer_data!$D$1:$D$165,,0))</f>
        <v/>
      </c>
      <c r="H94" t="str">
        <f>_xlfn.XLOOKUP(C94,customer_data!$B$1:$B$165,customer_data!$H$1:$H$165,,0)</f>
        <v>United States</v>
      </c>
      <c r="I94" t="str">
        <f>INDEX(Product_data!$A$1:$G$49,MATCH(order_data!$D94,Product_data!$A$1:$A$49,0),MATCH(order_data!I$1,Product_data!$A$1:$G$1,0))</f>
        <v>Excelsa</v>
      </c>
      <c r="J94" t="str">
        <f>INDEX(Product_data!$A$1:$G$49,MATCH(order_data!$D94,Product_data!$A$1:$A$49,0),MATCH(order_data!J$1,Product_data!$A$1:$G$1,0))</f>
        <v>Light Roast</v>
      </c>
      <c r="K94">
        <f>INDEX(Product_data!$A$1:$G$49,MATCH(order_data!$D94,Product_data!$A$1:$A$49,0),MATCH(order_data!K$1,Product_data!$A$1:$G$1,0))</f>
        <v>1</v>
      </c>
      <c r="L94">
        <f>INDEX(Product_data!$A$1:$G$49,MATCH(order_data!$D94,Product_data!$A$1:$A$49,0),MATCH(order_data!L$1,Product_data!$A$1:$G$1,0))</f>
        <v>14.85</v>
      </c>
      <c r="M94">
        <f t="shared" si="1"/>
        <v>44.55</v>
      </c>
    </row>
    <row r="95" spans="1:13" ht="14.4">
      <c r="A95" s="5" t="s">
        <v>1067</v>
      </c>
      <c r="B95" s="4">
        <v>43538</v>
      </c>
      <c r="C95" s="5" t="s">
        <v>547</v>
      </c>
      <c r="D95" s="6" t="s">
        <v>1043</v>
      </c>
      <c r="E95" s="5">
        <v>4</v>
      </c>
      <c r="F95" t="str">
        <f>_xlfn.XLOOKUP(C95,customer_data!$B$1:$B$165,customer_data!$C$1:$C$165,,0)</f>
        <v>Else Langcaster</v>
      </c>
      <c r="G95" t="str">
        <f>IF(_xlfn.XLOOKUP(C95,customer_data!$B$1:$B$165,customer_data!$D$1:$D$165,,0)=0,"",_xlfn.XLOOKUP(C95,customer_data!$B$1:$B$165,customer_data!$D$1:$D$165,,0))</f>
        <v>elangcaster2l@spotify.com</v>
      </c>
      <c r="H95" t="str">
        <f>_xlfn.XLOOKUP(C95,customer_data!$B$1:$B$165,customer_data!$H$1:$H$165,,0)</f>
        <v>United Kingdom</v>
      </c>
      <c r="I95" t="str">
        <f>INDEX(Product_data!$A$1:$G$49,MATCH(order_data!$D95,Product_data!$A$1:$A$49,0),MATCH(order_data!I$1,Product_data!$A$1:$G$1,0))</f>
        <v>Excelsa</v>
      </c>
      <c r="J95" t="str">
        <f>INDEX(Product_data!$A$1:$G$49,MATCH(order_data!$D95,Product_data!$A$1:$A$49,0),MATCH(order_data!J$1,Product_data!$A$1:$G$1,0))</f>
        <v>Light Roast</v>
      </c>
      <c r="K95">
        <f>INDEX(Product_data!$A$1:$G$49,MATCH(order_data!$D95,Product_data!$A$1:$A$49,0),MATCH(order_data!K$1,Product_data!$A$1:$G$1,0))</f>
        <v>0.5</v>
      </c>
      <c r="L95">
        <f>INDEX(Product_data!$A$1:$G$49,MATCH(order_data!$D95,Product_data!$A$1:$A$49,0),MATCH(order_data!L$1,Product_data!$A$1:$G$1,0))</f>
        <v>8.91</v>
      </c>
      <c r="M95">
        <f t="shared" si="1"/>
        <v>35.64</v>
      </c>
    </row>
    <row r="96" spans="1:13" ht="14.4">
      <c r="A96" s="5" t="s">
        <v>1068</v>
      </c>
      <c r="B96" s="4">
        <v>44014</v>
      </c>
      <c r="C96" s="5" t="s">
        <v>554</v>
      </c>
      <c r="D96" s="6" t="s">
        <v>971</v>
      </c>
      <c r="E96" s="5">
        <v>6</v>
      </c>
      <c r="F96" t="str">
        <f>_xlfn.XLOOKUP(C96,customer_data!$B$1:$B$165,customer_data!$C$1:$C$165,,0)</f>
        <v>Rudy Farquharson</v>
      </c>
      <c r="G96" t="str">
        <f>IF(_xlfn.XLOOKUP(C96,customer_data!$B$1:$B$165,customer_data!$D$1:$D$165,,0)=0,"",_xlfn.XLOOKUP(C96,customer_data!$B$1:$B$165,customer_data!$D$1:$D$165,,0))</f>
        <v/>
      </c>
      <c r="H96" t="str">
        <f>_xlfn.XLOOKUP(C96,customer_data!$B$1:$B$165,customer_data!$H$1:$H$165,,0)</f>
        <v>Ireland</v>
      </c>
      <c r="I96" t="str">
        <f>INDEX(Product_data!$A$1:$G$49,MATCH(order_data!$D96,Product_data!$A$1:$A$49,0),MATCH(order_data!I$1,Product_data!$A$1:$G$1,0))</f>
        <v>Arabica</v>
      </c>
      <c r="J96" t="str">
        <f>INDEX(Product_data!$A$1:$G$49,MATCH(order_data!$D96,Product_data!$A$1:$A$49,0),MATCH(order_data!J$1,Product_data!$A$1:$G$1,0))</f>
        <v>Dark Roast</v>
      </c>
      <c r="K96">
        <f>INDEX(Product_data!$A$1:$G$49,MATCH(order_data!$D96,Product_data!$A$1:$A$49,0),MATCH(order_data!K$1,Product_data!$A$1:$G$1,0))</f>
        <v>0.2</v>
      </c>
      <c r="L96">
        <f>INDEX(Product_data!$A$1:$G$49,MATCH(order_data!$D96,Product_data!$A$1:$A$49,0),MATCH(order_data!L$1,Product_data!$A$1:$G$1,0))</f>
        <v>2.9849999999999999</v>
      </c>
      <c r="M96">
        <f t="shared" si="1"/>
        <v>17.91</v>
      </c>
    </row>
    <row r="97" spans="1:13" ht="14.4">
      <c r="A97" s="5" t="s">
        <v>1069</v>
      </c>
      <c r="B97" s="4">
        <v>43816</v>
      </c>
      <c r="C97" s="5" t="s">
        <v>559</v>
      </c>
      <c r="D97" s="6" t="s">
        <v>1040</v>
      </c>
      <c r="E97" s="5">
        <v>6</v>
      </c>
      <c r="F97" t="str">
        <f>_xlfn.XLOOKUP(C97,customer_data!$B$1:$B$165,customer_data!$C$1:$C$165,,0)</f>
        <v>Norene Magauran</v>
      </c>
      <c r="G97" t="str">
        <f>IF(_xlfn.XLOOKUP(C97,customer_data!$B$1:$B$165,customer_data!$D$1:$D$165,,0)=0,"",_xlfn.XLOOKUP(C97,customer_data!$B$1:$B$165,customer_data!$D$1:$D$165,,0))</f>
        <v>nmagauran2n@51.la</v>
      </c>
      <c r="H97" t="str">
        <f>_xlfn.XLOOKUP(C97,customer_data!$B$1:$B$165,customer_data!$H$1:$H$165,,0)</f>
        <v>United States</v>
      </c>
      <c r="I97" t="str">
        <f>INDEX(Product_data!$A$1:$G$49,MATCH(order_data!$D97,Product_data!$A$1:$A$49,0),MATCH(order_data!I$1,Product_data!$A$1:$G$1,0))</f>
        <v>Arabica</v>
      </c>
      <c r="J97" t="str">
        <f>INDEX(Product_data!$A$1:$G$49,MATCH(order_data!$D97,Product_data!$A$1:$A$49,0),MATCH(order_data!J$1,Product_data!$A$1:$G$1,0))</f>
        <v>Medium Roast</v>
      </c>
      <c r="K97">
        <f>INDEX(Product_data!$A$1:$G$49,MATCH(order_data!$D97,Product_data!$A$1:$A$49,0),MATCH(order_data!K$1,Product_data!$A$1:$G$1,0))</f>
        <v>2.5</v>
      </c>
      <c r="L97">
        <f>INDEX(Product_data!$A$1:$G$49,MATCH(order_data!$D97,Product_data!$A$1:$A$49,0),MATCH(order_data!L$1,Product_data!$A$1:$G$1,0))</f>
        <v>25.874999999999996</v>
      </c>
      <c r="M97">
        <f t="shared" si="1"/>
        <v>155.24999999999997</v>
      </c>
    </row>
    <row r="98" spans="1:13" ht="14.4">
      <c r="A98" s="5" t="s">
        <v>1070</v>
      </c>
      <c r="B98" s="4">
        <v>44171</v>
      </c>
      <c r="C98" s="5" t="s">
        <v>563</v>
      </c>
      <c r="D98" s="6" t="s">
        <v>971</v>
      </c>
      <c r="E98" s="5">
        <v>2</v>
      </c>
      <c r="F98" t="str">
        <f>_xlfn.XLOOKUP(C98,customer_data!$B$1:$B$165,customer_data!$C$1:$C$165,,0)</f>
        <v>Vicki Kirdsch</v>
      </c>
      <c r="G98" t="str">
        <f>IF(_xlfn.XLOOKUP(C98,customer_data!$B$1:$B$165,customer_data!$D$1:$D$165,,0)=0,"",_xlfn.XLOOKUP(C98,customer_data!$B$1:$B$165,customer_data!$D$1:$D$165,,0))</f>
        <v>vkirdsch2o@google.fr</v>
      </c>
      <c r="H98" t="str">
        <f>_xlfn.XLOOKUP(C98,customer_data!$B$1:$B$165,customer_data!$H$1:$H$165,,0)</f>
        <v>United States</v>
      </c>
      <c r="I98" t="str">
        <f>INDEX(Product_data!$A$1:$G$49,MATCH(order_data!$D98,Product_data!$A$1:$A$49,0),MATCH(order_data!I$1,Product_data!$A$1:$G$1,0))</f>
        <v>Arabica</v>
      </c>
      <c r="J98" t="str">
        <f>INDEX(Product_data!$A$1:$G$49,MATCH(order_data!$D98,Product_data!$A$1:$A$49,0),MATCH(order_data!J$1,Product_data!$A$1:$G$1,0))</f>
        <v>Dark Roast</v>
      </c>
      <c r="K98">
        <f>INDEX(Product_data!$A$1:$G$49,MATCH(order_data!$D98,Product_data!$A$1:$A$49,0),MATCH(order_data!K$1,Product_data!$A$1:$G$1,0))</f>
        <v>0.2</v>
      </c>
      <c r="L98">
        <f>INDEX(Product_data!$A$1:$G$49,MATCH(order_data!$D98,Product_data!$A$1:$A$49,0),MATCH(order_data!L$1,Product_data!$A$1:$G$1,0))</f>
        <v>2.9849999999999999</v>
      </c>
      <c r="M98">
        <f t="shared" si="1"/>
        <v>5.97</v>
      </c>
    </row>
    <row r="99" spans="1:13" ht="14.4">
      <c r="A99" s="5" t="s">
        <v>1071</v>
      </c>
      <c r="B99" s="4">
        <v>44259</v>
      </c>
      <c r="C99" s="5" t="s">
        <v>567</v>
      </c>
      <c r="D99" s="6" t="s">
        <v>979</v>
      </c>
      <c r="E99" s="5">
        <v>2</v>
      </c>
      <c r="F99" t="str">
        <f>_xlfn.XLOOKUP(C99,customer_data!$B$1:$B$165,customer_data!$C$1:$C$165,,0)</f>
        <v>Ilysa Whapple</v>
      </c>
      <c r="G99" t="str">
        <f>IF(_xlfn.XLOOKUP(C99,customer_data!$B$1:$B$165,customer_data!$D$1:$D$165,,0)=0,"",_xlfn.XLOOKUP(C99,customer_data!$B$1:$B$165,customer_data!$D$1:$D$165,,0))</f>
        <v>iwhapple2p@com.com</v>
      </c>
      <c r="H99" t="str">
        <f>_xlfn.XLOOKUP(C99,customer_data!$B$1:$B$165,customer_data!$H$1:$H$165,,0)</f>
        <v>United States</v>
      </c>
      <c r="I99" t="str">
        <f>INDEX(Product_data!$A$1:$G$49,MATCH(order_data!$D99,Product_data!$A$1:$A$49,0),MATCH(order_data!I$1,Product_data!$A$1:$G$1,0))</f>
        <v>Arabica</v>
      </c>
      <c r="J99" t="str">
        <f>INDEX(Product_data!$A$1:$G$49,MATCH(order_data!$D99,Product_data!$A$1:$A$49,0),MATCH(order_data!J$1,Product_data!$A$1:$G$1,0))</f>
        <v>Medium Roast</v>
      </c>
      <c r="K99">
        <f>INDEX(Product_data!$A$1:$G$49,MATCH(order_data!$D99,Product_data!$A$1:$A$49,0),MATCH(order_data!K$1,Product_data!$A$1:$G$1,0))</f>
        <v>0.5</v>
      </c>
      <c r="L99">
        <f>INDEX(Product_data!$A$1:$G$49,MATCH(order_data!$D99,Product_data!$A$1:$A$49,0),MATCH(order_data!L$1,Product_data!$A$1:$G$1,0))</f>
        <v>6.75</v>
      </c>
      <c r="M99">
        <f t="shared" si="1"/>
        <v>13.5</v>
      </c>
    </row>
    <row r="100" spans="1:13" ht="14.4">
      <c r="A100" s="5" t="s">
        <v>1072</v>
      </c>
      <c r="B100" s="4">
        <v>44394</v>
      </c>
      <c r="C100" s="5" t="s">
        <v>572</v>
      </c>
      <c r="D100" s="6" t="s">
        <v>971</v>
      </c>
      <c r="E100" s="5">
        <v>1</v>
      </c>
      <c r="F100" t="str">
        <f>_xlfn.XLOOKUP(C100,customer_data!$B$1:$B$165,customer_data!$C$1:$C$165,,0)</f>
        <v>Ruy Cancellieri</v>
      </c>
      <c r="G100" t="str">
        <f>IF(_xlfn.XLOOKUP(C100,customer_data!$B$1:$B$165,customer_data!$D$1:$D$165,,0)=0,"",_xlfn.XLOOKUP(C100,customer_data!$B$1:$B$165,customer_data!$D$1:$D$165,,0))</f>
        <v/>
      </c>
      <c r="H100" t="str">
        <f>_xlfn.XLOOKUP(C100,customer_data!$B$1:$B$165,customer_data!$H$1:$H$165,,0)</f>
        <v>Ireland</v>
      </c>
      <c r="I100" t="str">
        <f>INDEX(Product_data!$A$1:$G$49,MATCH(order_data!$D100,Product_data!$A$1:$A$49,0),MATCH(order_data!I$1,Product_data!$A$1:$G$1,0))</f>
        <v>Arabica</v>
      </c>
      <c r="J100" t="str">
        <f>INDEX(Product_data!$A$1:$G$49,MATCH(order_data!$D100,Product_data!$A$1:$A$49,0),MATCH(order_data!J$1,Product_data!$A$1:$G$1,0))</f>
        <v>Dark Roast</v>
      </c>
      <c r="K100">
        <f>INDEX(Product_data!$A$1:$G$49,MATCH(order_data!$D100,Product_data!$A$1:$A$49,0),MATCH(order_data!K$1,Product_data!$A$1:$G$1,0))</f>
        <v>0.2</v>
      </c>
      <c r="L100">
        <f>INDEX(Product_data!$A$1:$G$49,MATCH(order_data!$D100,Product_data!$A$1:$A$49,0),MATCH(order_data!L$1,Product_data!$A$1:$G$1,0))</f>
        <v>2.9849999999999999</v>
      </c>
      <c r="M100">
        <f t="shared" si="1"/>
        <v>2.9849999999999999</v>
      </c>
    </row>
    <row r="101" spans="1:13" ht="14.4">
      <c r="A101" s="5" t="s">
        <v>1073</v>
      </c>
      <c r="B101" s="4">
        <v>44139</v>
      </c>
      <c r="C101" s="5" t="s">
        <v>578</v>
      </c>
      <c r="D101" s="6" t="s">
        <v>985</v>
      </c>
      <c r="E101" s="5">
        <v>3</v>
      </c>
      <c r="F101" t="str">
        <f>_xlfn.XLOOKUP(C101,customer_data!$B$1:$B$165,customer_data!$C$1:$C$165,,0)</f>
        <v>Aube Follett</v>
      </c>
      <c r="G101" t="str">
        <f>IF(_xlfn.XLOOKUP(C101,customer_data!$B$1:$B$165,customer_data!$D$1:$D$165,,0)=0,"",_xlfn.XLOOKUP(C101,customer_data!$B$1:$B$165,customer_data!$D$1:$D$165,,0))</f>
        <v/>
      </c>
      <c r="H101" t="str">
        <f>_xlfn.XLOOKUP(C101,customer_data!$B$1:$B$165,customer_data!$H$1:$H$165,,0)</f>
        <v>United States</v>
      </c>
      <c r="I101" t="str">
        <f>INDEX(Product_data!$A$1:$G$49,MATCH(order_data!$D101,Product_data!$A$1:$A$49,0),MATCH(order_data!I$1,Product_data!$A$1:$G$1,0))</f>
        <v>Liberica</v>
      </c>
      <c r="J101" t="str">
        <f>INDEX(Product_data!$A$1:$G$49,MATCH(order_data!$D101,Product_data!$A$1:$A$49,0),MATCH(order_data!J$1,Product_data!$A$1:$G$1,0))</f>
        <v>Medium Roast</v>
      </c>
      <c r="K101">
        <f>INDEX(Product_data!$A$1:$G$49,MATCH(order_data!$D101,Product_data!$A$1:$A$49,0),MATCH(order_data!K$1,Product_data!$A$1:$G$1,0))</f>
        <v>0.2</v>
      </c>
      <c r="L101">
        <f>INDEX(Product_data!$A$1:$G$49,MATCH(order_data!$D101,Product_data!$A$1:$A$49,0),MATCH(order_data!L$1,Product_data!$A$1:$G$1,0))</f>
        <v>4.3650000000000002</v>
      </c>
      <c r="M101">
        <f t="shared" si="1"/>
        <v>13.095000000000001</v>
      </c>
    </row>
    <row r="102" spans="1:13" ht="14.4">
      <c r="A102" s="5" t="s">
        <v>1074</v>
      </c>
      <c r="B102" s="4">
        <v>44291</v>
      </c>
      <c r="C102" s="5" t="s">
        <v>582</v>
      </c>
      <c r="D102" s="6" t="s">
        <v>1008</v>
      </c>
      <c r="E102" s="5">
        <v>2</v>
      </c>
      <c r="F102" t="str">
        <f>_xlfn.XLOOKUP(C102,customer_data!$B$1:$B$165,customer_data!$C$1:$C$165,,0)</f>
        <v>Rudiger Di Bartolomeo</v>
      </c>
      <c r="G102" t="str">
        <f>IF(_xlfn.XLOOKUP(C102,customer_data!$B$1:$B$165,customer_data!$D$1:$D$165,,0)=0,"",_xlfn.XLOOKUP(C102,customer_data!$B$1:$B$165,customer_data!$D$1:$D$165,,0))</f>
        <v/>
      </c>
      <c r="H102" t="str">
        <f>_xlfn.XLOOKUP(C102,customer_data!$B$1:$B$165,customer_data!$H$1:$H$165,,0)</f>
        <v>United States</v>
      </c>
      <c r="I102" t="str">
        <f>INDEX(Product_data!$A$1:$G$49,MATCH(order_data!$D102,Product_data!$A$1:$A$49,0),MATCH(order_data!I$1,Product_data!$A$1:$G$1,0))</f>
        <v>Arabica</v>
      </c>
      <c r="J102" t="str">
        <f>INDEX(Product_data!$A$1:$G$49,MATCH(order_data!$D102,Product_data!$A$1:$A$49,0),MATCH(order_data!J$1,Product_data!$A$1:$G$1,0))</f>
        <v>Light Roast</v>
      </c>
      <c r="K102">
        <f>INDEX(Product_data!$A$1:$G$49,MATCH(order_data!$D102,Product_data!$A$1:$A$49,0),MATCH(order_data!K$1,Product_data!$A$1:$G$1,0))</f>
        <v>0.2</v>
      </c>
      <c r="L102">
        <f>INDEX(Product_data!$A$1:$G$49,MATCH(order_data!$D102,Product_data!$A$1:$A$49,0),MATCH(order_data!L$1,Product_data!$A$1:$G$1,0))</f>
        <v>3.8849999999999998</v>
      </c>
      <c r="M102">
        <f t="shared" si="1"/>
        <v>7.77</v>
      </c>
    </row>
    <row r="103" spans="1:13" ht="14.4">
      <c r="A103" s="5" t="s">
        <v>1075</v>
      </c>
      <c r="B103" s="4">
        <v>43891</v>
      </c>
      <c r="C103" s="5" t="s">
        <v>587</v>
      </c>
      <c r="D103" s="6" t="s">
        <v>1004</v>
      </c>
      <c r="E103" s="5">
        <v>5</v>
      </c>
      <c r="F103" t="str">
        <f>_xlfn.XLOOKUP(C103,customer_data!$B$1:$B$165,customer_data!$C$1:$C$165,,0)</f>
        <v>Nickey Youles</v>
      </c>
      <c r="G103" t="str">
        <f>IF(_xlfn.XLOOKUP(C103,customer_data!$B$1:$B$165,customer_data!$D$1:$D$165,,0)=0,"",_xlfn.XLOOKUP(C103,customer_data!$B$1:$B$165,customer_data!$D$1:$D$165,,0))</f>
        <v>nyoules2t@reference.com</v>
      </c>
      <c r="H103" t="str">
        <f>_xlfn.XLOOKUP(C103,customer_data!$B$1:$B$165,customer_data!$H$1:$H$165,,0)</f>
        <v>Ireland</v>
      </c>
      <c r="I103" t="str">
        <f>INDEX(Product_data!$A$1:$G$49,MATCH(order_data!$D103,Product_data!$A$1:$A$49,0),MATCH(order_data!I$1,Product_data!$A$1:$G$1,0))</f>
        <v>Liberica</v>
      </c>
      <c r="J103" t="str">
        <f>INDEX(Product_data!$A$1:$G$49,MATCH(order_data!$D103,Product_data!$A$1:$A$49,0),MATCH(order_data!J$1,Product_data!$A$1:$G$1,0))</f>
        <v>Dark Roast</v>
      </c>
      <c r="K103">
        <f>INDEX(Product_data!$A$1:$G$49,MATCH(order_data!$D103,Product_data!$A$1:$A$49,0),MATCH(order_data!K$1,Product_data!$A$1:$G$1,0))</f>
        <v>2.5</v>
      </c>
      <c r="L103">
        <f>INDEX(Product_data!$A$1:$G$49,MATCH(order_data!$D103,Product_data!$A$1:$A$49,0),MATCH(order_data!L$1,Product_data!$A$1:$G$1,0))</f>
        <v>29.784999999999997</v>
      </c>
      <c r="M103">
        <f t="shared" si="1"/>
        <v>148.92499999999998</v>
      </c>
    </row>
    <row r="104" spans="1:13" ht="14.4">
      <c r="A104" s="5" t="s">
        <v>1076</v>
      </c>
      <c r="B104" s="4">
        <v>44488</v>
      </c>
      <c r="C104" s="5" t="s">
        <v>594</v>
      </c>
      <c r="D104" s="6" t="s">
        <v>945</v>
      </c>
      <c r="E104" s="5">
        <v>3</v>
      </c>
      <c r="F104" t="str">
        <f>_xlfn.XLOOKUP(C104,customer_data!$B$1:$B$165,customer_data!$C$1:$C$165,,0)</f>
        <v>Dyanna Aizikovitz</v>
      </c>
      <c r="G104" t="str">
        <f>IF(_xlfn.XLOOKUP(C104,customer_data!$B$1:$B$165,customer_data!$D$1:$D$165,,0)=0,"",_xlfn.XLOOKUP(C104,customer_data!$B$1:$B$165,customer_data!$D$1:$D$165,,0))</f>
        <v>daizikovitz2u@answers.com</v>
      </c>
      <c r="H104" t="str">
        <f>_xlfn.XLOOKUP(C104,customer_data!$B$1:$B$165,customer_data!$H$1:$H$165,,0)</f>
        <v>Ireland</v>
      </c>
      <c r="I104" t="str">
        <f>INDEX(Product_data!$A$1:$G$49,MATCH(order_data!$D104,Product_data!$A$1:$A$49,0),MATCH(order_data!I$1,Product_data!$A$1:$G$1,0))</f>
        <v>Liberica</v>
      </c>
      <c r="J104" t="str">
        <f>INDEX(Product_data!$A$1:$G$49,MATCH(order_data!$D104,Product_data!$A$1:$A$49,0),MATCH(order_data!J$1,Product_data!$A$1:$G$1,0))</f>
        <v>Dark Roast</v>
      </c>
      <c r="K104">
        <f>INDEX(Product_data!$A$1:$G$49,MATCH(order_data!$D104,Product_data!$A$1:$A$49,0),MATCH(order_data!K$1,Product_data!$A$1:$G$1,0))</f>
        <v>1</v>
      </c>
      <c r="L104">
        <f>INDEX(Product_data!$A$1:$G$49,MATCH(order_data!$D104,Product_data!$A$1:$A$49,0),MATCH(order_data!L$1,Product_data!$A$1:$G$1,0))</f>
        <v>12.95</v>
      </c>
      <c r="M104">
        <f t="shared" si="1"/>
        <v>38.849999999999994</v>
      </c>
    </row>
    <row r="105" spans="1:13" ht="14.4">
      <c r="A105" s="5" t="s">
        <v>1077</v>
      </c>
      <c r="B105" s="4">
        <v>44750</v>
      </c>
      <c r="C105" s="5" t="s">
        <v>600</v>
      </c>
      <c r="D105" s="6" t="s">
        <v>1035</v>
      </c>
      <c r="E105" s="5">
        <v>4</v>
      </c>
      <c r="F105" t="str">
        <f>_xlfn.XLOOKUP(C105,customer_data!$B$1:$B$165,customer_data!$C$1:$C$165,,0)</f>
        <v>Bram Revel</v>
      </c>
      <c r="G105" t="str">
        <f>IF(_xlfn.XLOOKUP(C105,customer_data!$B$1:$B$165,customer_data!$D$1:$D$165,,0)=0,"",_xlfn.XLOOKUP(C105,customer_data!$B$1:$B$165,customer_data!$D$1:$D$165,,0))</f>
        <v>brevel2v@fastcompany.com</v>
      </c>
      <c r="H105" t="str">
        <f>_xlfn.XLOOKUP(C105,customer_data!$B$1:$B$165,customer_data!$H$1:$H$165,,0)</f>
        <v>United States</v>
      </c>
      <c r="I105" t="str">
        <f>INDEX(Product_data!$A$1:$G$49,MATCH(order_data!$D105,Product_data!$A$1:$A$49,0),MATCH(order_data!I$1,Product_data!$A$1:$G$1,0))</f>
        <v>Robusta</v>
      </c>
      <c r="J105" t="str">
        <f>INDEX(Product_data!$A$1:$G$49,MATCH(order_data!$D105,Product_data!$A$1:$A$49,0),MATCH(order_data!J$1,Product_data!$A$1:$G$1,0))</f>
        <v>Medium Roast</v>
      </c>
      <c r="K105">
        <f>INDEX(Product_data!$A$1:$G$49,MATCH(order_data!$D105,Product_data!$A$1:$A$49,0),MATCH(order_data!K$1,Product_data!$A$1:$G$1,0))</f>
        <v>0.2</v>
      </c>
      <c r="L105">
        <f>INDEX(Product_data!$A$1:$G$49,MATCH(order_data!$D105,Product_data!$A$1:$A$49,0),MATCH(order_data!L$1,Product_data!$A$1:$G$1,0))</f>
        <v>2.9849999999999999</v>
      </c>
      <c r="M105">
        <f t="shared" si="1"/>
        <v>11.94</v>
      </c>
    </row>
    <row r="106" spans="1:13" ht="14.4">
      <c r="A106" s="5" t="s">
        <v>1078</v>
      </c>
      <c r="B106" s="4">
        <v>43694</v>
      </c>
      <c r="C106" s="5" t="s">
        <v>605</v>
      </c>
      <c r="D106" s="6" t="s">
        <v>996</v>
      </c>
      <c r="E106" s="5">
        <v>6</v>
      </c>
      <c r="F106" t="str">
        <f>_xlfn.XLOOKUP(C106,customer_data!$B$1:$B$165,customer_data!$C$1:$C$165,,0)</f>
        <v>Emiline Priddis</v>
      </c>
      <c r="G106" t="str">
        <f>IF(_xlfn.XLOOKUP(C106,customer_data!$B$1:$B$165,customer_data!$D$1:$D$165,,0)=0,"",_xlfn.XLOOKUP(C106,customer_data!$B$1:$B$165,customer_data!$D$1:$D$165,,0))</f>
        <v>epriddis2w@nationalgeographic.com</v>
      </c>
      <c r="H106" t="str">
        <f>_xlfn.XLOOKUP(C106,customer_data!$B$1:$B$165,customer_data!$H$1:$H$165,,0)</f>
        <v>United States</v>
      </c>
      <c r="I106" t="str">
        <f>INDEX(Product_data!$A$1:$G$49,MATCH(order_data!$D106,Product_data!$A$1:$A$49,0),MATCH(order_data!I$1,Product_data!$A$1:$G$1,0))</f>
        <v>Liberica</v>
      </c>
      <c r="J106" t="str">
        <f>INDEX(Product_data!$A$1:$G$49,MATCH(order_data!$D106,Product_data!$A$1:$A$49,0),MATCH(order_data!J$1,Product_data!$A$1:$G$1,0))</f>
        <v>Medium Roast</v>
      </c>
      <c r="K106">
        <f>INDEX(Product_data!$A$1:$G$49,MATCH(order_data!$D106,Product_data!$A$1:$A$49,0),MATCH(order_data!K$1,Product_data!$A$1:$G$1,0))</f>
        <v>1</v>
      </c>
      <c r="L106">
        <f>INDEX(Product_data!$A$1:$G$49,MATCH(order_data!$D106,Product_data!$A$1:$A$49,0),MATCH(order_data!L$1,Product_data!$A$1:$G$1,0))</f>
        <v>14.55</v>
      </c>
      <c r="M106">
        <f t="shared" si="1"/>
        <v>87.300000000000011</v>
      </c>
    </row>
    <row r="107" spans="1:13" ht="14.4">
      <c r="A107" s="5" t="s">
        <v>1079</v>
      </c>
      <c r="B107" s="4">
        <v>43982</v>
      </c>
      <c r="C107" s="5" t="s">
        <v>611</v>
      </c>
      <c r="D107" s="6" t="s">
        <v>979</v>
      </c>
      <c r="E107" s="5">
        <v>6</v>
      </c>
      <c r="F107" t="str">
        <f>_xlfn.XLOOKUP(C107,customer_data!$B$1:$B$165,customer_data!$C$1:$C$165,,0)</f>
        <v>Queenie Veel</v>
      </c>
      <c r="G107" t="str">
        <f>IF(_xlfn.XLOOKUP(C107,customer_data!$B$1:$B$165,customer_data!$D$1:$D$165,,0)=0,"",_xlfn.XLOOKUP(C107,customer_data!$B$1:$B$165,customer_data!$D$1:$D$165,,0))</f>
        <v>qveel2x@jugem.jp</v>
      </c>
      <c r="H107" t="str">
        <f>_xlfn.XLOOKUP(C107,customer_data!$B$1:$B$165,customer_data!$H$1:$H$165,,0)</f>
        <v>United States</v>
      </c>
      <c r="I107" t="str">
        <f>INDEX(Product_data!$A$1:$G$49,MATCH(order_data!$D107,Product_data!$A$1:$A$49,0),MATCH(order_data!I$1,Product_data!$A$1:$G$1,0))</f>
        <v>Arabica</v>
      </c>
      <c r="J107" t="str">
        <f>INDEX(Product_data!$A$1:$G$49,MATCH(order_data!$D107,Product_data!$A$1:$A$49,0),MATCH(order_data!J$1,Product_data!$A$1:$G$1,0))</f>
        <v>Medium Roast</v>
      </c>
      <c r="K107">
        <f>INDEX(Product_data!$A$1:$G$49,MATCH(order_data!$D107,Product_data!$A$1:$A$49,0),MATCH(order_data!K$1,Product_data!$A$1:$G$1,0))</f>
        <v>0.5</v>
      </c>
      <c r="L107">
        <f>INDEX(Product_data!$A$1:$G$49,MATCH(order_data!$D107,Product_data!$A$1:$A$49,0),MATCH(order_data!L$1,Product_data!$A$1:$G$1,0))</f>
        <v>6.75</v>
      </c>
      <c r="M107">
        <f t="shared" si="1"/>
        <v>40.5</v>
      </c>
    </row>
    <row r="108" spans="1:13" ht="14.4">
      <c r="A108" s="5" t="s">
        <v>1080</v>
      </c>
      <c r="B108" s="4">
        <v>43956</v>
      </c>
      <c r="C108" s="5" t="s">
        <v>616</v>
      </c>
      <c r="D108" s="6" t="s">
        <v>1081</v>
      </c>
      <c r="E108" s="5">
        <v>2</v>
      </c>
      <c r="F108" t="str">
        <f>_xlfn.XLOOKUP(C108,customer_data!$B$1:$B$165,customer_data!$C$1:$C$165,,0)</f>
        <v>Lind Conyers</v>
      </c>
      <c r="G108" t="str">
        <f>IF(_xlfn.XLOOKUP(C108,customer_data!$B$1:$B$165,customer_data!$D$1:$D$165,,0)=0,"",_xlfn.XLOOKUP(C108,customer_data!$B$1:$B$165,customer_data!$D$1:$D$165,,0))</f>
        <v>lconyers2y@twitter.com</v>
      </c>
      <c r="H108" t="str">
        <f>_xlfn.XLOOKUP(C108,customer_data!$B$1:$B$165,customer_data!$H$1:$H$165,,0)</f>
        <v>United States</v>
      </c>
      <c r="I108" t="str">
        <f>INDEX(Product_data!$A$1:$G$49,MATCH(order_data!$D108,Product_data!$A$1:$A$49,0),MATCH(order_data!I$1,Product_data!$A$1:$G$1,0))</f>
        <v>Excelsa</v>
      </c>
      <c r="J108" t="str">
        <f>INDEX(Product_data!$A$1:$G$49,MATCH(order_data!$D108,Product_data!$A$1:$A$49,0),MATCH(order_data!J$1,Product_data!$A$1:$G$1,0))</f>
        <v>Dark Roast</v>
      </c>
      <c r="K108">
        <f>INDEX(Product_data!$A$1:$G$49,MATCH(order_data!$D108,Product_data!$A$1:$A$49,0),MATCH(order_data!K$1,Product_data!$A$1:$G$1,0))</f>
        <v>1</v>
      </c>
      <c r="L108">
        <f>INDEX(Product_data!$A$1:$G$49,MATCH(order_data!$D108,Product_data!$A$1:$A$49,0),MATCH(order_data!L$1,Product_data!$A$1:$G$1,0))</f>
        <v>12.15</v>
      </c>
      <c r="M108">
        <f t="shared" si="1"/>
        <v>24.3</v>
      </c>
    </row>
    <row r="109" spans="1:13" ht="14.4">
      <c r="A109" s="5" t="s">
        <v>1082</v>
      </c>
      <c r="B109" s="4">
        <v>43569</v>
      </c>
      <c r="C109" s="5" t="s">
        <v>622</v>
      </c>
      <c r="D109" s="6" t="s">
        <v>951</v>
      </c>
      <c r="E109" s="5">
        <v>3</v>
      </c>
      <c r="F109" t="str">
        <f>_xlfn.XLOOKUP(C109,customer_data!$B$1:$B$165,customer_data!$C$1:$C$165,,0)</f>
        <v>Pen Wye</v>
      </c>
      <c r="G109" t="str">
        <f>IF(_xlfn.XLOOKUP(C109,customer_data!$B$1:$B$165,customer_data!$D$1:$D$165,,0)=0,"",_xlfn.XLOOKUP(C109,customer_data!$B$1:$B$165,customer_data!$D$1:$D$165,,0))</f>
        <v>pwye2z@dagondesign.com</v>
      </c>
      <c r="H109" t="str">
        <f>_xlfn.XLOOKUP(C109,customer_data!$B$1:$B$165,customer_data!$H$1:$H$165,,0)</f>
        <v>United States</v>
      </c>
      <c r="I109" t="str">
        <f>INDEX(Product_data!$A$1:$G$49,MATCH(order_data!$D109,Product_data!$A$1:$A$49,0),MATCH(order_data!I$1,Product_data!$A$1:$G$1,0))</f>
        <v>Robusta</v>
      </c>
      <c r="J109" t="str">
        <f>INDEX(Product_data!$A$1:$G$49,MATCH(order_data!$D109,Product_data!$A$1:$A$49,0),MATCH(order_data!J$1,Product_data!$A$1:$G$1,0))</f>
        <v>Medium Roast</v>
      </c>
      <c r="K109">
        <f>INDEX(Product_data!$A$1:$G$49,MATCH(order_data!$D109,Product_data!$A$1:$A$49,0),MATCH(order_data!K$1,Product_data!$A$1:$G$1,0))</f>
        <v>0.5</v>
      </c>
      <c r="L109">
        <f>INDEX(Product_data!$A$1:$G$49,MATCH(order_data!$D109,Product_data!$A$1:$A$49,0),MATCH(order_data!L$1,Product_data!$A$1:$G$1,0))</f>
        <v>5.97</v>
      </c>
      <c r="M109">
        <f t="shared" si="1"/>
        <v>17.91</v>
      </c>
    </row>
    <row r="110" spans="1:13" ht="14.4">
      <c r="A110" s="5" t="s">
        <v>1083</v>
      </c>
      <c r="B110" s="4">
        <v>44041</v>
      </c>
      <c r="C110" s="5" t="s">
        <v>627</v>
      </c>
      <c r="D110" s="6" t="s">
        <v>979</v>
      </c>
      <c r="E110" s="5">
        <v>4</v>
      </c>
      <c r="F110" t="str">
        <f>_xlfn.XLOOKUP(C110,customer_data!$B$1:$B$165,customer_data!$C$1:$C$165,,0)</f>
        <v>Isahella Hagland</v>
      </c>
      <c r="G110" t="str">
        <f>IF(_xlfn.XLOOKUP(C110,customer_data!$B$1:$B$165,customer_data!$D$1:$D$165,,0)=0,"",_xlfn.XLOOKUP(C110,customer_data!$B$1:$B$165,customer_data!$D$1:$D$165,,0))</f>
        <v/>
      </c>
      <c r="H110" t="str">
        <f>_xlfn.XLOOKUP(C110,customer_data!$B$1:$B$165,customer_data!$H$1:$H$165,,0)</f>
        <v>United States</v>
      </c>
      <c r="I110" t="str">
        <f>INDEX(Product_data!$A$1:$G$49,MATCH(order_data!$D110,Product_data!$A$1:$A$49,0),MATCH(order_data!I$1,Product_data!$A$1:$G$1,0))</f>
        <v>Arabica</v>
      </c>
      <c r="J110" t="str">
        <f>INDEX(Product_data!$A$1:$G$49,MATCH(order_data!$D110,Product_data!$A$1:$A$49,0),MATCH(order_data!J$1,Product_data!$A$1:$G$1,0))</f>
        <v>Medium Roast</v>
      </c>
      <c r="K110">
        <f>INDEX(Product_data!$A$1:$G$49,MATCH(order_data!$D110,Product_data!$A$1:$A$49,0),MATCH(order_data!K$1,Product_data!$A$1:$G$1,0))</f>
        <v>0.5</v>
      </c>
      <c r="L110">
        <f>INDEX(Product_data!$A$1:$G$49,MATCH(order_data!$D110,Product_data!$A$1:$A$49,0),MATCH(order_data!L$1,Product_data!$A$1:$G$1,0))</f>
        <v>6.75</v>
      </c>
      <c r="M110">
        <f t="shared" si="1"/>
        <v>27</v>
      </c>
    </row>
    <row r="111" spans="1:13" ht="14.4">
      <c r="A111" s="5" t="s">
        <v>1084</v>
      </c>
      <c r="B111" s="4">
        <v>43811</v>
      </c>
      <c r="C111" s="5" t="s">
        <v>631</v>
      </c>
      <c r="D111" s="6" t="s">
        <v>1013</v>
      </c>
      <c r="E111" s="5">
        <v>1</v>
      </c>
      <c r="F111" t="str">
        <f>_xlfn.XLOOKUP(C111,customer_data!$B$1:$B$165,customer_data!$C$1:$C$165,,0)</f>
        <v>Terry Sheryn</v>
      </c>
      <c r="G111" t="str">
        <f>IF(_xlfn.XLOOKUP(C111,customer_data!$B$1:$B$165,customer_data!$D$1:$D$165,,0)=0,"",_xlfn.XLOOKUP(C111,customer_data!$B$1:$B$165,customer_data!$D$1:$D$165,,0))</f>
        <v>tsheryn31@mtv.com</v>
      </c>
      <c r="H111" t="str">
        <f>_xlfn.XLOOKUP(C111,customer_data!$B$1:$B$165,customer_data!$H$1:$H$165,,0)</f>
        <v>United States</v>
      </c>
      <c r="I111" t="str">
        <f>INDEX(Product_data!$A$1:$G$49,MATCH(order_data!$D111,Product_data!$A$1:$A$49,0),MATCH(order_data!I$1,Product_data!$A$1:$G$1,0))</f>
        <v>Liberica</v>
      </c>
      <c r="J111" t="str">
        <f>INDEX(Product_data!$A$1:$G$49,MATCH(order_data!$D111,Product_data!$A$1:$A$49,0),MATCH(order_data!J$1,Product_data!$A$1:$G$1,0))</f>
        <v>Dark Roast</v>
      </c>
      <c r="K111">
        <f>INDEX(Product_data!$A$1:$G$49,MATCH(order_data!$D111,Product_data!$A$1:$A$49,0),MATCH(order_data!K$1,Product_data!$A$1:$G$1,0))</f>
        <v>0.5</v>
      </c>
      <c r="L111">
        <f>INDEX(Product_data!$A$1:$G$49,MATCH(order_data!$D111,Product_data!$A$1:$A$49,0),MATCH(order_data!L$1,Product_data!$A$1:$G$1,0))</f>
        <v>7.77</v>
      </c>
      <c r="M111">
        <f t="shared" si="1"/>
        <v>7.77</v>
      </c>
    </row>
    <row r="112" spans="1:13" ht="14.4">
      <c r="A112" s="5" t="s">
        <v>1085</v>
      </c>
      <c r="B112" s="4">
        <v>44727</v>
      </c>
      <c r="C112" s="5" t="s">
        <v>637</v>
      </c>
      <c r="D112" s="6" t="s">
        <v>1086</v>
      </c>
      <c r="E112" s="5">
        <v>3</v>
      </c>
      <c r="F112" t="str">
        <f>_xlfn.XLOOKUP(C112,customer_data!$B$1:$B$165,customer_data!$C$1:$C$165,,0)</f>
        <v>Marie-jeanne Redgrave</v>
      </c>
      <c r="G112" t="str">
        <f>IF(_xlfn.XLOOKUP(C112,customer_data!$B$1:$B$165,customer_data!$D$1:$D$165,,0)=0,"",_xlfn.XLOOKUP(C112,customer_data!$B$1:$B$165,customer_data!$D$1:$D$165,,0))</f>
        <v>mredgrave32@cargocollective.com</v>
      </c>
      <c r="H112" t="str">
        <f>_xlfn.XLOOKUP(C112,customer_data!$B$1:$B$165,customer_data!$H$1:$H$165,,0)</f>
        <v>United States</v>
      </c>
      <c r="I112" t="str">
        <f>INDEX(Product_data!$A$1:$G$49,MATCH(order_data!$D112,Product_data!$A$1:$A$49,0),MATCH(order_data!I$1,Product_data!$A$1:$G$1,0))</f>
        <v>Excelsa</v>
      </c>
      <c r="J112" t="str">
        <f>INDEX(Product_data!$A$1:$G$49,MATCH(order_data!$D112,Product_data!$A$1:$A$49,0),MATCH(order_data!J$1,Product_data!$A$1:$G$1,0))</f>
        <v>Light Roast</v>
      </c>
      <c r="K112">
        <f>INDEX(Product_data!$A$1:$G$49,MATCH(order_data!$D112,Product_data!$A$1:$A$49,0),MATCH(order_data!K$1,Product_data!$A$1:$G$1,0))</f>
        <v>0.2</v>
      </c>
      <c r="L112">
        <f>INDEX(Product_data!$A$1:$G$49,MATCH(order_data!$D112,Product_data!$A$1:$A$49,0),MATCH(order_data!L$1,Product_data!$A$1:$G$1,0))</f>
        <v>4.4550000000000001</v>
      </c>
      <c r="M112">
        <f t="shared" si="1"/>
        <v>13.365</v>
      </c>
    </row>
    <row r="113" spans="1:13" ht="14.4">
      <c r="A113" s="5" t="s">
        <v>1087</v>
      </c>
      <c r="B113" s="4">
        <v>43642</v>
      </c>
      <c r="C113" s="5" t="s">
        <v>642</v>
      </c>
      <c r="D113" s="6" t="s">
        <v>1026</v>
      </c>
      <c r="E113" s="5">
        <v>5</v>
      </c>
      <c r="F113" t="str">
        <f>_xlfn.XLOOKUP(C113,customer_data!$B$1:$B$165,customer_data!$C$1:$C$165,,0)</f>
        <v>Betty Fominov</v>
      </c>
      <c r="G113" t="str">
        <f>IF(_xlfn.XLOOKUP(C113,customer_data!$B$1:$B$165,customer_data!$D$1:$D$165,,0)=0,"",_xlfn.XLOOKUP(C113,customer_data!$B$1:$B$165,customer_data!$D$1:$D$165,,0))</f>
        <v>bfominov33@yale.edu</v>
      </c>
      <c r="H113" t="str">
        <f>_xlfn.XLOOKUP(C113,customer_data!$B$1:$B$165,customer_data!$H$1:$H$165,,0)</f>
        <v>United States</v>
      </c>
      <c r="I113" t="str">
        <f>INDEX(Product_data!$A$1:$G$49,MATCH(order_data!$D113,Product_data!$A$1:$A$49,0),MATCH(order_data!I$1,Product_data!$A$1:$G$1,0))</f>
        <v>Robusta</v>
      </c>
      <c r="J113" t="str">
        <f>INDEX(Product_data!$A$1:$G$49,MATCH(order_data!$D113,Product_data!$A$1:$A$49,0),MATCH(order_data!J$1,Product_data!$A$1:$G$1,0))</f>
        <v>Dark Roast</v>
      </c>
      <c r="K113">
        <f>INDEX(Product_data!$A$1:$G$49,MATCH(order_data!$D113,Product_data!$A$1:$A$49,0),MATCH(order_data!K$1,Product_data!$A$1:$G$1,0))</f>
        <v>0.5</v>
      </c>
      <c r="L113">
        <f>INDEX(Product_data!$A$1:$G$49,MATCH(order_data!$D113,Product_data!$A$1:$A$49,0),MATCH(order_data!L$1,Product_data!$A$1:$G$1,0))</f>
        <v>5.3699999999999992</v>
      </c>
      <c r="M113">
        <f t="shared" si="1"/>
        <v>26.849999999999994</v>
      </c>
    </row>
    <row r="114" spans="1:13" ht="14.4">
      <c r="A114" s="5" t="s">
        <v>1088</v>
      </c>
      <c r="B114" s="4">
        <v>44481</v>
      </c>
      <c r="C114" s="5" t="s">
        <v>646</v>
      </c>
      <c r="D114" s="6" t="s">
        <v>975</v>
      </c>
      <c r="E114" s="5">
        <v>1</v>
      </c>
      <c r="F114" t="str">
        <f>_xlfn.XLOOKUP(C114,customer_data!$B$1:$B$165,customer_data!$C$1:$C$165,,0)</f>
        <v>Shawnee Critchlow</v>
      </c>
      <c r="G114" t="str">
        <f>IF(_xlfn.XLOOKUP(C114,customer_data!$B$1:$B$165,customer_data!$D$1:$D$165,,0)=0,"",_xlfn.XLOOKUP(C114,customer_data!$B$1:$B$165,customer_data!$D$1:$D$165,,0))</f>
        <v>scritchlow34@un.org</v>
      </c>
      <c r="H114" t="str">
        <f>_xlfn.XLOOKUP(C114,customer_data!$B$1:$B$165,customer_data!$H$1:$H$165,,0)</f>
        <v>United States</v>
      </c>
      <c r="I114" t="str">
        <f>INDEX(Product_data!$A$1:$G$49,MATCH(order_data!$D114,Product_data!$A$1:$A$49,0),MATCH(order_data!I$1,Product_data!$A$1:$G$1,0))</f>
        <v>Arabica</v>
      </c>
      <c r="J114" t="str">
        <f>INDEX(Product_data!$A$1:$G$49,MATCH(order_data!$D114,Product_data!$A$1:$A$49,0),MATCH(order_data!J$1,Product_data!$A$1:$G$1,0))</f>
        <v>Medium Roast</v>
      </c>
      <c r="K114">
        <f>INDEX(Product_data!$A$1:$G$49,MATCH(order_data!$D114,Product_data!$A$1:$A$49,0),MATCH(order_data!K$1,Product_data!$A$1:$G$1,0))</f>
        <v>1</v>
      </c>
      <c r="L114">
        <f>INDEX(Product_data!$A$1:$G$49,MATCH(order_data!$D114,Product_data!$A$1:$A$49,0),MATCH(order_data!L$1,Product_data!$A$1:$G$1,0))</f>
        <v>11.25</v>
      </c>
      <c r="M114">
        <f t="shared" si="1"/>
        <v>11.25</v>
      </c>
    </row>
    <row r="115" spans="1:13" ht="14.4">
      <c r="A115" s="5" t="s">
        <v>1089</v>
      </c>
      <c r="B115" s="4">
        <v>43556</v>
      </c>
      <c r="C115" s="5" t="s">
        <v>651</v>
      </c>
      <c r="D115" s="6" t="s">
        <v>996</v>
      </c>
      <c r="E115" s="5">
        <v>1</v>
      </c>
      <c r="F115" t="str">
        <f>_xlfn.XLOOKUP(C115,customer_data!$B$1:$B$165,customer_data!$C$1:$C$165,,0)</f>
        <v>Merrel Steptow</v>
      </c>
      <c r="G115" t="str">
        <f>IF(_xlfn.XLOOKUP(C115,customer_data!$B$1:$B$165,customer_data!$D$1:$D$165,,0)=0,"",_xlfn.XLOOKUP(C115,customer_data!$B$1:$B$165,customer_data!$D$1:$D$165,,0))</f>
        <v>msteptow35@earthlink.net</v>
      </c>
      <c r="H115" t="str">
        <f>_xlfn.XLOOKUP(C115,customer_data!$B$1:$B$165,customer_data!$H$1:$H$165,,0)</f>
        <v>Ireland</v>
      </c>
      <c r="I115" t="str">
        <f>INDEX(Product_data!$A$1:$G$49,MATCH(order_data!$D115,Product_data!$A$1:$A$49,0),MATCH(order_data!I$1,Product_data!$A$1:$G$1,0))</f>
        <v>Liberica</v>
      </c>
      <c r="J115" t="str">
        <f>INDEX(Product_data!$A$1:$G$49,MATCH(order_data!$D115,Product_data!$A$1:$A$49,0),MATCH(order_data!J$1,Product_data!$A$1:$G$1,0))</f>
        <v>Medium Roast</v>
      </c>
      <c r="K115">
        <f>INDEX(Product_data!$A$1:$G$49,MATCH(order_data!$D115,Product_data!$A$1:$A$49,0),MATCH(order_data!K$1,Product_data!$A$1:$G$1,0))</f>
        <v>1</v>
      </c>
      <c r="L115">
        <f>INDEX(Product_data!$A$1:$G$49,MATCH(order_data!$D115,Product_data!$A$1:$A$49,0),MATCH(order_data!L$1,Product_data!$A$1:$G$1,0))</f>
        <v>14.55</v>
      </c>
      <c r="M115">
        <f t="shared" si="1"/>
        <v>14.55</v>
      </c>
    </row>
    <row r="116" spans="1:13" ht="14.4">
      <c r="A116" s="5" t="s">
        <v>1090</v>
      </c>
      <c r="B116" s="4">
        <v>44265</v>
      </c>
      <c r="C116" s="5" t="s">
        <v>658</v>
      </c>
      <c r="D116" s="6" t="s">
        <v>1047</v>
      </c>
      <c r="E116" s="5">
        <v>4</v>
      </c>
      <c r="F116" t="str">
        <f>_xlfn.XLOOKUP(C116,customer_data!$B$1:$B$165,customer_data!$C$1:$C$165,,0)</f>
        <v>Carmina Hubbuck</v>
      </c>
      <c r="G116" t="str">
        <f>IF(_xlfn.XLOOKUP(C116,customer_data!$B$1:$B$165,customer_data!$D$1:$D$165,,0)=0,"",_xlfn.XLOOKUP(C116,customer_data!$B$1:$B$165,customer_data!$D$1:$D$165,,0))</f>
        <v/>
      </c>
      <c r="H116" t="str">
        <f>_xlfn.XLOOKUP(C116,customer_data!$B$1:$B$165,customer_data!$H$1:$H$165,,0)</f>
        <v>United States</v>
      </c>
      <c r="I116" t="str">
        <f>INDEX(Product_data!$A$1:$G$49,MATCH(order_data!$D116,Product_data!$A$1:$A$49,0),MATCH(order_data!I$1,Product_data!$A$1:$G$1,0))</f>
        <v>Robusta</v>
      </c>
      <c r="J116" t="str">
        <f>INDEX(Product_data!$A$1:$G$49,MATCH(order_data!$D116,Product_data!$A$1:$A$49,0),MATCH(order_data!J$1,Product_data!$A$1:$G$1,0))</f>
        <v>Light Roast</v>
      </c>
      <c r="K116">
        <f>INDEX(Product_data!$A$1:$G$49,MATCH(order_data!$D116,Product_data!$A$1:$A$49,0),MATCH(order_data!K$1,Product_data!$A$1:$G$1,0))</f>
        <v>0.2</v>
      </c>
      <c r="L116">
        <f>INDEX(Product_data!$A$1:$G$49,MATCH(order_data!$D116,Product_data!$A$1:$A$49,0),MATCH(order_data!L$1,Product_data!$A$1:$G$1,0))</f>
        <v>3.5849999999999995</v>
      </c>
      <c r="M116">
        <f t="shared" si="1"/>
        <v>14.339999999999998</v>
      </c>
    </row>
    <row r="117" spans="1:13" ht="14.4">
      <c r="A117" s="5" t="s">
        <v>1091</v>
      </c>
      <c r="B117" s="4">
        <v>43693</v>
      </c>
      <c r="C117" s="5" t="s">
        <v>663</v>
      </c>
      <c r="D117" s="6" t="s">
        <v>1018</v>
      </c>
      <c r="E117" s="5">
        <v>1</v>
      </c>
      <c r="F117" t="str">
        <f>_xlfn.XLOOKUP(C117,customer_data!$B$1:$B$165,customer_data!$C$1:$C$165,,0)</f>
        <v>Ingeberg Mulliner</v>
      </c>
      <c r="G117" t="str">
        <f>IF(_xlfn.XLOOKUP(C117,customer_data!$B$1:$B$165,customer_data!$D$1:$D$165,,0)=0,"",_xlfn.XLOOKUP(C117,customer_data!$B$1:$B$165,customer_data!$D$1:$D$165,,0))</f>
        <v>imulliner37@pinterest.com</v>
      </c>
      <c r="H117" t="str">
        <f>_xlfn.XLOOKUP(C117,customer_data!$B$1:$B$165,customer_data!$H$1:$H$165,,0)</f>
        <v>United Kingdom</v>
      </c>
      <c r="I117" t="str">
        <f>INDEX(Product_data!$A$1:$G$49,MATCH(order_data!$D117,Product_data!$A$1:$A$49,0),MATCH(order_data!I$1,Product_data!$A$1:$G$1,0))</f>
        <v>Liberica</v>
      </c>
      <c r="J117" t="str">
        <f>INDEX(Product_data!$A$1:$G$49,MATCH(order_data!$D117,Product_data!$A$1:$A$49,0),MATCH(order_data!J$1,Product_data!$A$1:$G$1,0))</f>
        <v>Light Roast</v>
      </c>
      <c r="K117">
        <f>INDEX(Product_data!$A$1:$G$49,MATCH(order_data!$D117,Product_data!$A$1:$A$49,0),MATCH(order_data!K$1,Product_data!$A$1:$G$1,0))</f>
        <v>1</v>
      </c>
      <c r="L117">
        <f>INDEX(Product_data!$A$1:$G$49,MATCH(order_data!$D117,Product_data!$A$1:$A$49,0),MATCH(order_data!L$1,Product_data!$A$1:$G$1,0))</f>
        <v>15.85</v>
      </c>
      <c r="M117">
        <f t="shared" si="1"/>
        <v>15.85</v>
      </c>
    </row>
    <row r="118" spans="1:13" ht="14.4">
      <c r="A118" s="5" t="s">
        <v>1092</v>
      </c>
      <c r="B118" s="4">
        <v>44054</v>
      </c>
      <c r="C118" s="5" t="s">
        <v>669</v>
      </c>
      <c r="D118" s="6" t="s">
        <v>949</v>
      </c>
      <c r="E118" s="5">
        <v>4</v>
      </c>
      <c r="F118" t="str">
        <f>_xlfn.XLOOKUP(C118,customer_data!$B$1:$B$165,customer_data!$C$1:$C$165,,0)</f>
        <v>Geneva Standley</v>
      </c>
      <c r="G118" t="str">
        <f>IF(_xlfn.XLOOKUP(C118,customer_data!$B$1:$B$165,customer_data!$D$1:$D$165,,0)=0,"",_xlfn.XLOOKUP(C118,customer_data!$B$1:$B$165,customer_data!$D$1:$D$165,,0))</f>
        <v>gstandley38@dion.ne.jp</v>
      </c>
      <c r="H118" t="str">
        <f>_xlfn.XLOOKUP(C118,customer_data!$B$1:$B$165,customer_data!$H$1:$H$165,,0)</f>
        <v>Ireland</v>
      </c>
      <c r="I118" t="str">
        <f>INDEX(Product_data!$A$1:$G$49,MATCH(order_data!$D118,Product_data!$A$1:$A$49,0),MATCH(order_data!I$1,Product_data!$A$1:$G$1,0))</f>
        <v>Liberica</v>
      </c>
      <c r="J118" t="str">
        <f>INDEX(Product_data!$A$1:$G$49,MATCH(order_data!$D118,Product_data!$A$1:$A$49,0),MATCH(order_data!J$1,Product_data!$A$1:$G$1,0))</f>
        <v>Light Roast</v>
      </c>
      <c r="K118">
        <f>INDEX(Product_data!$A$1:$G$49,MATCH(order_data!$D118,Product_data!$A$1:$A$49,0),MATCH(order_data!K$1,Product_data!$A$1:$G$1,0))</f>
        <v>0.2</v>
      </c>
      <c r="L118">
        <f>INDEX(Product_data!$A$1:$G$49,MATCH(order_data!$D118,Product_data!$A$1:$A$49,0),MATCH(order_data!L$1,Product_data!$A$1:$G$1,0))</f>
        <v>4.7549999999999999</v>
      </c>
      <c r="M118">
        <f t="shared" si="1"/>
        <v>19.02</v>
      </c>
    </row>
    <row r="119" spans="1:13" ht="14.4">
      <c r="A119" s="5" t="s">
        <v>1093</v>
      </c>
      <c r="B119" s="4">
        <v>44656</v>
      </c>
      <c r="C119" s="5" t="s">
        <v>676</v>
      </c>
      <c r="D119" s="6" t="s">
        <v>989</v>
      </c>
      <c r="E119" s="5">
        <v>4</v>
      </c>
      <c r="F119" t="str">
        <f>_xlfn.XLOOKUP(C119,customer_data!$B$1:$B$165,customer_data!$C$1:$C$165,,0)</f>
        <v>Brook Drage</v>
      </c>
      <c r="G119" t="str">
        <f>IF(_xlfn.XLOOKUP(C119,customer_data!$B$1:$B$165,customer_data!$D$1:$D$165,,0)=0,"",_xlfn.XLOOKUP(C119,customer_data!$B$1:$B$165,customer_data!$D$1:$D$165,,0))</f>
        <v>bdrage39@youku.com</v>
      </c>
      <c r="H119" t="str">
        <f>_xlfn.XLOOKUP(C119,customer_data!$B$1:$B$165,customer_data!$H$1:$H$165,,0)</f>
        <v>United States</v>
      </c>
      <c r="I119" t="str">
        <f>INDEX(Product_data!$A$1:$G$49,MATCH(order_data!$D119,Product_data!$A$1:$A$49,0),MATCH(order_data!I$1,Product_data!$A$1:$G$1,0))</f>
        <v>Liberica</v>
      </c>
      <c r="J119" t="str">
        <f>INDEX(Product_data!$A$1:$G$49,MATCH(order_data!$D119,Product_data!$A$1:$A$49,0),MATCH(order_data!J$1,Product_data!$A$1:$G$1,0))</f>
        <v>Light Roast</v>
      </c>
      <c r="K119">
        <f>INDEX(Product_data!$A$1:$G$49,MATCH(order_data!$D119,Product_data!$A$1:$A$49,0),MATCH(order_data!K$1,Product_data!$A$1:$G$1,0))</f>
        <v>0.5</v>
      </c>
      <c r="L119">
        <f>INDEX(Product_data!$A$1:$G$49,MATCH(order_data!$D119,Product_data!$A$1:$A$49,0),MATCH(order_data!L$1,Product_data!$A$1:$G$1,0))</f>
        <v>9.51</v>
      </c>
      <c r="M119">
        <f t="shared" si="1"/>
        <v>38.04</v>
      </c>
    </row>
    <row r="120" spans="1:13" ht="14.4">
      <c r="A120" s="5" t="s">
        <v>1094</v>
      </c>
      <c r="B120" s="4">
        <v>43760</v>
      </c>
      <c r="C120" s="5" t="s">
        <v>681</v>
      </c>
      <c r="D120" s="6" t="s">
        <v>947</v>
      </c>
      <c r="E120" s="5">
        <v>3</v>
      </c>
      <c r="F120" t="str">
        <f>_xlfn.XLOOKUP(C120,customer_data!$B$1:$B$165,customer_data!$C$1:$C$165,,0)</f>
        <v>Muffin Yallop</v>
      </c>
      <c r="G120" t="str">
        <f>IF(_xlfn.XLOOKUP(C120,customer_data!$B$1:$B$165,customer_data!$D$1:$D$165,,0)=0,"",_xlfn.XLOOKUP(C120,customer_data!$B$1:$B$165,customer_data!$D$1:$D$165,,0))</f>
        <v>myallop3a@fema.gov</v>
      </c>
      <c r="H120" t="str">
        <f>_xlfn.XLOOKUP(C120,customer_data!$B$1:$B$165,customer_data!$H$1:$H$165,,0)</f>
        <v>United States</v>
      </c>
      <c r="I120" t="str">
        <f>INDEX(Product_data!$A$1:$G$49,MATCH(order_data!$D120,Product_data!$A$1:$A$49,0),MATCH(order_data!I$1,Product_data!$A$1:$G$1,0))</f>
        <v>Excelsa</v>
      </c>
      <c r="J120" t="str">
        <f>INDEX(Product_data!$A$1:$G$49,MATCH(order_data!$D120,Product_data!$A$1:$A$49,0),MATCH(order_data!J$1,Product_data!$A$1:$G$1,0))</f>
        <v>Dark Roast</v>
      </c>
      <c r="K120">
        <f>INDEX(Product_data!$A$1:$G$49,MATCH(order_data!$D120,Product_data!$A$1:$A$49,0),MATCH(order_data!K$1,Product_data!$A$1:$G$1,0))</f>
        <v>0.5</v>
      </c>
      <c r="L120">
        <f>INDEX(Product_data!$A$1:$G$49,MATCH(order_data!$D120,Product_data!$A$1:$A$49,0),MATCH(order_data!L$1,Product_data!$A$1:$G$1,0))</f>
        <v>7.29</v>
      </c>
      <c r="M120">
        <f t="shared" si="1"/>
        <v>21.87</v>
      </c>
    </row>
    <row r="121" spans="1:13" ht="14.4">
      <c r="A121" s="5" t="s">
        <v>1095</v>
      </c>
      <c r="B121" s="4">
        <v>44471</v>
      </c>
      <c r="C121" s="5" t="s">
        <v>687</v>
      </c>
      <c r="D121" s="6" t="s">
        <v>977</v>
      </c>
      <c r="E121" s="5">
        <v>1</v>
      </c>
      <c r="F121" t="str">
        <f>_xlfn.XLOOKUP(C121,customer_data!$B$1:$B$165,customer_data!$C$1:$C$165,,0)</f>
        <v>Cordi Switsur</v>
      </c>
      <c r="G121" t="str">
        <f>IF(_xlfn.XLOOKUP(C121,customer_data!$B$1:$B$165,customer_data!$D$1:$D$165,,0)=0,"",_xlfn.XLOOKUP(C121,customer_data!$B$1:$B$165,customer_data!$D$1:$D$165,,0))</f>
        <v>cswitsur3b@chronoengine.com</v>
      </c>
      <c r="H121" t="str">
        <f>_xlfn.XLOOKUP(C121,customer_data!$B$1:$B$165,customer_data!$H$1:$H$165,,0)</f>
        <v>United States</v>
      </c>
      <c r="I121" t="str">
        <f>INDEX(Product_data!$A$1:$G$49,MATCH(order_data!$D121,Product_data!$A$1:$A$49,0),MATCH(order_data!I$1,Product_data!$A$1:$G$1,0))</f>
        <v>Excelsa</v>
      </c>
      <c r="J121" t="str">
        <f>INDEX(Product_data!$A$1:$G$49,MATCH(order_data!$D121,Product_data!$A$1:$A$49,0),MATCH(order_data!J$1,Product_data!$A$1:$G$1,0))</f>
        <v>Medium Roast</v>
      </c>
      <c r="K121">
        <f>INDEX(Product_data!$A$1:$G$49,MATCH(order_data!$D121,Product_data!$A$1:$A$49,0),MATCH(order_data!K$1,Product_data!$A$1:$G$1,0))</f>
        <v>0.2</v>
      </c>
      <c r="L121">
        <f>INDEX(Product_data!$A$1:$G$49,MATCH(order_data!$D121,Product_data!$A$1:$A$49,0),MATCH(order_data!L$1,Product_data!$A$1:$G$1,0))</f>
        <v>4.125</v>
      </c>
      <c r="M121">
        <f t="shared" si="1"/>
        <v>4.125</v>
      </c>
    </row>
    <row r="122" spans="1:13" ht="14.4">
      <c r="A122" s="5" t="s">
        <v>1095</v>
      </c>
      <c r="B122" s="4">
        <v>44471</v>
      </c>
      <c r="C122" s="5" t="s">
        <v>687</v>
      </c>
      <c r="D122" s="6" t="s">
        <v>1008</v>
      </c>
      <c r="E122" s="5">
        <v>1</v>
      </c>
      <c r="F122" t="str">
        <f>_xlfn.XLOOKUP(C122,customer_data!$B$1:$B$165,customer_data!$C$1:$C$165,,0)</f>
        <v>Cordi Switsur</v>
      </c>
      <c r="G122" t="str">
        <f>IF(_xlfn.XLOOKUP(C122,customer_data!$B$1:$B$165,customer_data!$D$1:$D$165,,0)=0,"",_xlfn.XLOOKUP(C122,customer_data!$B$1:$B$165,customer_data!$D$1:$D$165,,0))</f>
        <v>cswitsur3b@chronoengine.com</v>
      </c>
      <c r="H122" t="str">
        <f>_xlfn.XLOOKUP(C122,customer_data!$B$1:$B$165,customer_data!$H$1:$H$165,,0)</f>
        <v>United States</v>
      </c>
      <c r="I122" t="str">
        <f>INDEX(Product_data!$A$1:$G$49,MATCH(order_data!$D122,Product_data!$A$1:$A$49,0),MATCH(order_data!I$1,Product_data!$A$1:$G$1,0))</f>
        <v>Arabica</v>
      </c>
      <c r="J122" t="str">
        <f>INDEX(Product_data!$A$1:$G$49,MATCH(order_data!$D122,Product_data!$A$1:$A$49,0),MATCH(order_data!J$1,Product_data!$A$1:$G$1,0))</f>
        <v>Light Roast</v>
      </c>
      <c r="K122">
        <f>INDEX(Product_data!$A$1:$G$49,MATCH(order_data!$D122,Product_data!$A$1:$A$49,0),MATCH(order_data!K$1,Product_data!$A$1:$G$1,0))</f>
        <v>0.2</v>
      </c>
      <c r="L122">
        <f>INDEX(Product_data!$A$1:$G$49,MATCH(order_data!$D122,Product_data!$A$1:$A$49,0),MATCH(order_data!L$1,Product_data!$A$1:$G$1,0))</f>
        <v>3.8849999999999998</v>
      </c>
      <c r="M122">
        <f t="shared" si="1"/>
        <v>3.8849999999999998</v>
      </c>
    </row>
    <row r="123" spans="1:13" ht="14.4">
      <c r="A123" s="5" t="s">
        <v>1095</v>
      </c>
      <c r="B123" s="4">
        <v>44471</v>
      </c>
      <c r="C123" s="5" t="s">
        <v>687</v>
      </c>
      <c r="D123" s="6" t="s">
        <v>942</v>
      </c>
      <c r="E123" s="5">
        <v>5</v>
      </c>
      <c r="F123" t="str">
        <f>_xlfn.XLOOKUP(C123,customer_data!$B$1:$B$165,customer_data!$C$1:$C$165,,0)</f>
        <v>Cordi Switsur</v>
      </c>
      <c r="G123" t="str">
        <f>IF(_xlfn.XLOOKUP(C123,customer_data!$B$1:$B$165,customer_data!$D$1:$D$165,,0)=0,"",_xlfn.XLOOKUP(C123,customer_data!$B$1:$B$165,customer_data!$D$1:$D$165,,0))</f>
        <v>cswitsur3b@chronoengine.com</v>
      </c>
      <c r="H123" t="str">
        <f>_xlfn.XLOOKUP(C123,customer_data!$B$1:$B$165,customer_data!$H$1:$H$165,,0)</f>
        <v>United States</v>
      </c>
      <c r="I123" t="str">
        <f>INDEX(Product_data!$A$1:$G$49,MATCH(order_data!$D123,Product_data!$A$1:$A$49,0),MATCH(order_data!I$1,Product_data!$A$1:$G$1,0))</f>
        <v>Excelsa</v>
      </c>
      <c r="J123" t="str">
        <f>INDEX(Product_data!$A$1:$G$49,MATCH(order_data!$D123,Product_data!$A$1:$A$49,0),MATCH(order_data!J$1,Product_data!$A$1:$G$1,0))</f>
        <v>Medium Roast</v>
      </c>
      <c r="K123">
        <f>INDEX(Product_data!$A$1:$G$49,MATCH(order_data!$D123,Product_data!$A$1:$A$49,0),MATCH(order_data!K$1,Product_data!$A$1:$G$1,0))</f>
        <v>1</v>
      </c>
      <c r="L123">
        <f>INDEX(Product_data!$A$1:$G$49,MATCH(order_data!$D123,Product_data!$A$1:$A$49,0),MATCH(order_data!L$1,Product_data!$A$1:$G$1,0))</f>
        <v>13.75</v>
      </c>
      <c r="M123">
        <f t="shared" si="1"/>
        <v>68.75</v>
      </c>
    </row>
    <row r="124" spans="1:13" ht="14.4">
      <c r="A124" s="5" t="s">
        <v>1096</v>
      </c>
      <c r="B124" s="4">
        <v>44268</v>
      </c>
      <c r="C124" s="5" t="s">
        <v>703</v>
      </c>
      <c r="D124" s="6" t="s">
        <v>982</v>
      </c>
      <c r="E124" s="5">
        <v>4</v>
      </c>
      <c r="F124" t="str">
        <f>_xlfn.XLOOKUP(C124,customer_data!$B$1:$B$165,customer_data!$C$1:$C$165,,0)</f>
        <v>Mahala Ludwell</v>
      </c>
      <c r="G124" t="str">
        <f>IF(_xlfn.XLOOKUP(C124,customer_data!$B$1:$B$165,customer_data!$D$1:$D$165,,0)=0,"",_xlfn.XLOOKUP(C124,customer_data!$B$1:$B$165,customer_data!$D$1:$D$165,,0))</f>
        <v>mludwell3e@blogger.com</v>
      </c>
      <c r="H124" t="str">
        <f>_xlfn.XLOOKUP(C124,customer_data!$B$1:$B$165,customer_data!$H$1:$H$165,,0)</f>
        <v>United States</v>
      </c>
      <c r="I124" t="str">
        <f>INDEX(Product_data!$A$1:$G$49,MATCH(order_data!$D124,Product_data!$A$1:$A$49,0),MATCH(order_data!I$1,Product_data!$A$1:$G$1,0))</f>
        <v>Arabica</v>
      </c>
      <c r="J124" t="str">
        <f>INDEX(Product_data!$A$1:$G$49,MATCH(order_data!$D124,Product_data!$A$1:$A$49,0),MATCH(order_data!J$1,Product_data!$A$1:$G$1,0))</f>
        <v>Dark Roast</v>
      </c>
      <c r="K124">
        <f>INDEX(Product_data!$A$1:$G$49,MATCH(order_data!$D124,Product_data!$A$1:$A$49,0),MATCH(order_data!K$1,Product_data!$A$1:$G$1,0))</f>
        <v>0.5</v>
      </c>
      <c r="L124">
        <f>INDEX(Product_data!$A$1:$G$49,MATCH(order_data!$D124,Product_data!$A$1:$A$49,0),MATCH(order_data!L$1,Product_data!$A$1:$G$1,0))</f>
        <v>5.97</v>
      </c>
      <c r="M124">
        <f t="shared" si="1"/>
        <v>23.88</v>
      </c>
    </row>
    <row r="125" spans="1:13" ht="14.4">
      <c r="A125" s="5" t="s">
        <v>1097</v>
      </c>
      <c r="B125" s="4">
        <v>44724</v>
      </c>
      <c r="C125" s="5" t="s">
        <v>708</v>
      </c>
      <c r="D125" s="6" t="s">
        <v>1001</v>
      </c>
      <c r="E125" s="5">
        <v>4</v>
      </c>
      <c r="F125" t="str">
        <f>_xlfn.XLOOKUP(C125,customer_data!$B$1:$B$165,customer_data!$C$1:$C$165,,0)</f>
        <v>Doll Beauchamp</v>
      </c>
      <c r="G125" t="str">
        <f>IF(_xlfn.XLOOKUP(C125,customer_data!$B$1:$B$165,customer_data!$D$1:$D$165,,0)=0,"",_xlfn.XLOOKUP(C125,customer_data!$B$1:$B$165,customer_data!$D$1:$D$165,,0))</f>
        <v>dbeauchamp3f@usda.gov</v>
      </c>
      <c r="H125" t="str">
        <f>_xlfn.XLOOKUP(C125,customer_data!$B$1:$B$165,customer_data!$H$1:$H$165,,0)</f>
        <v>United States</v>
      </c>
      <c r="I125" t="str">
        <f>INDEX(Product_data!$A$1:$G$49,MATCH(order_data!$D125,Product_data!$A$1:$A$49,0),MATCH(order_data!I$1,Product_data!$A$1:$G$1,0))</f>
        <v>Liberica</v>
      </c>
      <c r="J125" t="str">
        <f>INDEX(Product_data!$A$1:$G$49,MATCH(order_data!$D125,Product_data!$A$1:$A$49,0),MATCH(order_data!J$1,Product_data!$A$1:$G$1,0))</f>
        <v>Light Roast</v>
      </c>
      <c r="K125">
        <f>INDEX(Product_data!$A$1:$G$49,MATCH(order_data!$D125,Product_data!$A$1:$A$49,0),MATCH(order_data!K$1,Product_data!$A$1:$G$1,0))</f>
        <v>2.5</v>
      </c>
      <c r="L125">
        <f>INDEX(Product_data!$A$1:$G$49,MATCH(order_data!$D125,Product_data!$A$1:$A$49,0),MATCH(order_data!L$1,Product_data!$A$1:$G$1,0))</f>
        <v>36.454999999999998</v>
      </c>
      <c r="M125">
        <f t="shared" si="1"/>
        <v>145.82</v>
      </c>
    </row>
    <row r="126" spans="1:13" ht="14.4">
      <c r="A126" s="5" t="s">
        <v>1098</v>
      </c>
      <c r="B126" s="4">
        <v>43582</v>
      </c>
      <c r="C126" s="5" t="s">
        <v>714</v>
      </c>
      <c r="D126" s="6" t="s">
        <v>985</v>
      </c>
      <c r="E126" s="5">
        <v>5</v>
      </c>
      <c r="F126" t="str">
        <f>_xlfn.XLOOKUP(C126,customer_data!$B$1:$B$165,customer_data!$C$1:$C$165,,0)</f>
        <v>Stanford Rodliff</v>
      </c>
      <c r="G126" t="str">
        <f>IF(_xlfn.XLOOKUP(C126,customer_data!$B$1:$B$165,customer_data!$D$1:$D$165,,0)=0,"",_xlfn.XLOOKUP(C126,customer_data!$B$1:$B$165,customer_data!$D$1:$D$165,,0))</f>
        <v>srodliff3g@ted.com</v>
      </c>
      <c r="H126" t="str">
        <f>_xlfn.XLOOKUP(C126,customer_data!$B$1:$B$165,customer_data!$H$1:$H$165,,0)</f>
        <v>United States</v>
      </c>
      <c r="I126" t="str">
        <f>INDEX(Product_data!$A$1:$G$49,MATCH(order_data!$D126,Product_data!$A$1:$A$49,0),MATCH(order_data!I$1,Product_data!$A$1:$G$1,0))</f>
        <v>Liberica</v>
      </c>
      <c r="J126" t="str">
        <f>INDEX(Product_data!$A$1:$G$49,MATCH(order_data!$D126,Product_data!$A$1:$A$49,0),MATCH(order_data!J$1,Product_data!$A$1:$G$1,0))</f>
        <v>Medium Roast</v>
      </c>
      <c r="K126">
        <f>INDEX(Product_data!$A$1:$G$49,MATCH(order_data!$D126,Product_data!$A$1:$A$49,0),MATCH(order_data!K$1,Product_data!$A$1:$G$1,0))</f>
        <v>0.2</v>
      </c>
      <c r="L126">
        <f>INDEX(Product_data!$A$1:$G$49,MATCH(order_data!$D126,Product_data!$A$1:$A$49,0),MATCH(order_data!L$1,Product_data!$A$1:$G$1,0))</f>
        <v>4.3650000000000002</v>
      </c>
      <c r="M126">
        <f t="shared" si="1"/>
        <v>21.825000000000003</v>
      </c>
    </row>
    <row r="127" spans="1:13" ht="14.4">
      <c r="A127" s="5" t="s">
        <v>1099</v>
      </c>
      <c r="B127" s="4">
        <v>43608</v>
      </c>
      <c r="C127" s="5" t="s">
        <v>720</v>
      </c>
      <c r="D127" s="6" t="s">
        <v>986</v>
      </c>
      <c r="E127" s="5">
        <v>3</v>
      </c>
      <c r="F127" t="str">
        <f>_xlfn.XLOOKUP(C127,customer_data!$B$1:$B$165,customer_data!$C$1:$C$165,,0)</f>
        <v>Stevana Woodham</v>
      </c>
      <c r="G127" t="str">
        <f>IF(_xlfn.XLOOKUP(C127,customer_data!$B$1:$B$165,customer_data!$D$1:$D$165,,0)=0,"",_xlfn.XLOOKUP(C127,customer_data!$B$1:$B$165,customer_data!$D$1:$D$165,,0))</f>
        <v>swoodham3h@businesswire.com</v>
      </c>
      <c r="H127" t="str">
        <f>_xlfn.XLOOKUP(C127,customer_data!$B$1:$B$165,customer_data!$H$1:$H$165,,0)</f>
        <v>Ireland</v>
      </c>
      <c r="I127" t="str">
        <f>INDEX(Product_data!$A$1:$G$49,MATCH(order_data!$D127,Product_data!$A$1:$A$49,0),MATCH(order_data!I$1,Product_data!$A$1:$G$1,0))</f>
        <v>Liberica</v>
      </c>
      <c r="J127" t="str">
        <f>INDEX(Product_data!$A$1:$G$49,MATCH(order_data!$D127,Product_data!$A$1:$A$49,0),MATCH(order_data!J$1,Product_data!$A$1:$G$1,0))</f>
        <v>Medium Roast</v>
      </c>
      <c r="K127">
        <f>INDEX(Product_data!$A$1:$G$49,MATCH(order_data!$D127,Product_data!$A$1:$A$49,0),MATCH(order_data!K$1,Product_data!$A$1:$G$1,0))</f>
        <v>0.5</v>
      </c>
      <c r="L127">
        <f>INDEX(Product_data!$A$1:$G$49,MATCH(order_data!$D127,Product_data!$A$1:$A$49,0),MATCH(order_data!L$1,Product_data!$A$1:$G$1,0))</f>
        <v>8.73</v>
      </c>
      <c r="M127">
        <f t="shared" si="1"/>
        <v>26.19</v>
      </c>
    </row>
    <row r="128" spans="1:13" ht="14.4">
      <c r="A128" s="5" t="s">
        <v>1100</v>
      </c>
      <c r="B128" s="4">
        <v>44026</v>
      </c>
      <c r="C128" s="5" t="s">
        <v>727</v>
      </c>
      <c r="D128" s="6" t="s">
        <v>975</v>
      </c>
      <c r="E128" s="5">
        <v>1</v>
      </c>
      <c r="F128" t="str">
        <f>_xlfn.XLOOKUP(C128,customer_data!$B$1:$B$165,customer_data!$C$1:$C$165,,0)</f>
        <v>Hewet Synnot</v>
      </c>
      <c r="G128" t="str">
        <f>IF(_xlfn.XLOOKUP(C128,customer_data!$B$1:$B$165,customer_data!$D$1:$D$165,,0)=0,"",_xlfn.XLOOKUP(C128,customer_data!$B$1:$B$165,customer_data!$D$1:$D$165,,0))</f>
        <v>hsynnot3i@about.com</v>
      </c>
      <c r="H128" t="str">
        <f>_xlfn.XLOOKUP(C128,customer_data!$B$1:$B$165,customer_data!$H$1:$H$165,,0)</f>
        <v>United States</v>
      </c>
      <c r="I128" t="str">
        <f>INDEX(Product_data!$A$1:$G$49,MATCH(order_data!$D128,Product_data!$A$1:$A$49,0),MATCH(order_data!I$1,Product_data!$A$1:$G$1,0))</f>
        <v>Arabica</v>
      </c>
      <c r="J128" t="str">
        <f>INDEX(Product_data!$A$1:$G$49,MATCH(order_data!$D128,Product_data!$A$1:$A$49,0),MATCH(order_data!J$1,Product_data!$A$1:$G$1,0))</f>
        <v>Medium Roast</v>
      </c>
      <c r="K128">
        <f>INDEX(Product_data!$A$1:$G$49,MATCH(order_data!$D128,Product_data!$A$1:$A$49,0),MATCH(order_data!K$1,Product_data!$A$1:$G$1,0))</f>
        <v>1</v>
      </c>
      <c r="L128">
        <f>INDEX(Product_data!$A$1:$G$49,MATCH(order_data!$D128,Product_data!$A$1:$A$49,0),MATCH(order_data!L$1,Product_data!$A$1:$G$1,0))</f>
        <v>11.25</v>
      </c>
      <c r="M128">
        <f t="shared" si="1"/>
        <v>11.25</v>
      </c>
    </row>
    <row r="129" spans="1:13" ht="14.4">
      <c r="A129" s="5" t="s">
        <v>1101</v>
      </c>
      <c r="B129" s="4">
        <v>44510</v>
      </c>
      <c r="C129" s="5" t="s">
        <v>732</v>
      </c>
      <c r="D129" s="6" t="s">
        <v>945</v>
      </c>
      <c r="E129" s="5">
        <v>6</v>
      </c>
      <c r="F129" t="str">
        <f>_xlfn.XLOOKUP(C129,customer_data!$B$1:$B$165,customer_data!$C$1:$C$165,,0)</f>
        <v>Raleigh Lepere</v>
      </c>
      <c r="G129" t="str">
        <f>IF(_xlfn.XLOOKUP(C129,customer_data!$B$1:$B$165,customer_data!$D$1:$D$165,,0)=0,"",_xlfn.XLOOKUP(C129,customer_data!$B$1:$B$165,customer_data!$D$1:$D$165,,0))</f>
        <v>rlepere3j@shop-pro.jp</v>
      </c>
      <c r="H129" t="str">
        <f>_xlfn.XLOOKUP(C129,customer_data!$B$1:$B$165,customer_data!$H$1:$H$165,,0)</f>
        <v>Ireland</v>
      </c>
      <c r="I129" t="str">
        <f>INDEX(Product_data!$A$1:$G$49,MATCH(order_data!$D129,Product_data!$A$1:$A$49,0),MATCH(order_data!I$1,Product_data!$A$1:$G$1,0))</f>
        <v>Liberica</v>
      </c>
      <c r="J129" t="str">
        <f>INDEX(Product_data!$A$1:$G$49,MATCH(order_data!$D129,Product_data!$A$1:$A$49,0),MATCH(order_data!J$1,Product_data!$A$1:$G$1,0))</f>
        <v>Dark Roast</v>
      </c>
      <c r="K129">
        <f>INDEX(Product_data!$A$1:$G$49,MATCH(order_data!$D129,Product_data!$A$1:$A$49,0),MATCH(order_data!K$1,Product_data!$A$1:$G$1,0))</f>
        <v>1</v>
      </c>
      <c r="L129">
        <f>INDEX(Product_data!$A$1:$G$49,MATCH(order_data!$D129,Product_data!$A$1:$A$49,0),MATCH(order_data!L$1,Product_data!$A$1:$G$1,0))</f>
        <v>12.95</v>
      </c>
      <c r="M129">
        <f t="shared" si="1"/>
        <v>77.699999999999989</v>
      </c>
    </row>
    <row r="130" spans="1:13" ht="14.4">
      <c r="A130" s="5" t="s">
        <v>1102</v>
      </c>
      <c r="B130" s="4">
        <v>44439</v>
      </c>
      <c r="C130" s="5" t="s">
        <v>738</v>
      </c>
      <c r="D130" s="6" t="s">
        <v>979</v>
      </c>
      <c r="E130" s="5">
        <v>1</v>
      </c>
      <c r="F130" t="str">
        <f>_xlfn.XLOOKUP(C130,customer_data!$B$1:$B$165,customer_data!$C$1:$C$165,,0)</f>
        <v>Timofei Woofinden</v>
      </c>
      <c r="G130" t="str">
        <f>IF(_xlfn.XLOOKUP(C130,customer_data!$B$1:$B$165,customer_data!$D$1:$D$165,,0)=0,"",_xlfn.XLOOKUP(C130,customer_data!$B$1:$B$165,customer_data!$D$1:$D$165,,0))</f>
        <v>twoofinden3k@businesswire.com</v>
      </c>
      <c r="H130" t="str">
        <f>_xlfn.XLOOKUP(C130,customer_data!$B$1:$B$165,customer_data!$H$1:$H$165,,0)</f>
        <v>United States</v>
      </c>
      <c r="I130" t="str">
        <f>INDEX(Product_data!$A$1:$G$49,MATCH(order_data!$D130,Product_data!$A$1:$A$49,0),MATCH(order_data!I$1,Product_data!$A$1:$G$1,0))</f>
        <v>Arabica</v>
      </c>
      <c r="J130" t="str">
        <f>INDEX(Product_data!$A$1:$G$49,MATCH(order_data!$D130,Product_data!$A$1:$A$49,0),MATCH(order_data!J$1,Product_data!$A$1:$G$1,0))</f>
        <v>Medium Roast</v>
      </c>
      <c r="K130">
        <f>INDEX(Product_data!$A$1:$G$49,MATCH(order_data!$D130,Product_data!$A$1:$A$49,0),MATCH(order_data!K$1,Product_data!$A$1:$G$1,0))</f>
        <v>0.5</v>
      </c>
      <c r="L130">
        <f>INDEX(Product_data!$A$1:$G$49,MATCH(order_data!$D130,Product_data!$A$1:$A$49,0),MATCH(order_data!L$1,Product_data!$A$1:$G$1,0))</f>
        <v>6.75</v>
      </c>
      <c r="M130">
        <f t="shared" si="1"/>
        <v>6.75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8720-3F70-4CAF-B640-D2AD7AD21C0E}">
  <dimension ref="A1:G49"/>
  <sheetViews>
    <sheetView workbookViewId="0">
      <selection sqref="A1:G1"/>
    </sheetView>
  </sheetViews>
  <sheetFormatPr defaultRowHeight="13.8"/>
  <cols>
    <col min="1" max="1" width="11.3984375" customWidth="1"/>
    <col min="2" max="2" width="13.296875" customWidth="1"/>
    <col min="3" max="3" width="16.59765625" customWidth="1"/>
    <col min="4" max="4" width="15.3984375" customWidth="1"/>
    <col min="5" max="5" width="12.8984375" customWidth="1"/>
    <col min="6" max="6" width="14" customWidth="1"/>
    <col min="7" max="7" width="10.09765625" customWidth="1"/>
  </cols>
  <sheetData>
    <row r="1" spans="1:7">
      <c r="A1" s="13" t="s">
        <v>928</v>
      </c>
      <c r="B1" s="13" t="s">
        <v>1103</v>
      </c>
      <c r="C1" s="13" t="s">
        <v>932</v>
      </c>
      <c r="D1" s="13" t="s">
        <v>933</v>
      </c>
      <c r="E1" s="13" t="s">
        <v>934</v>
      </c>
      <c r="F1" s="13" t="s">
        <v>1104</v>
      </c>
      <c r="G1" s="13" t="s">
        <v>1105</v>
      </c>
    </row>
    <row r="2" spans="1:7">
      <c r="A2" t="s">
        <v>1008</v>
      </c>
      <c r="B2" t="s">
        <v>1106</v>
      </c>
      <c r="C2" t="s">
        <v>1107</v>
      </c>
      <c r="D2" s="9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1053</v>
      </c>
      <c r="B3" t="s">
        <v>1106</v>
      </c>
      <c r="C3" t="s">
        <v>1107</v>
      </c>
      <c r="D3" s="9">
        <v>0.5</v>
      </c>
      <c r="E3">
        <v>7.77</v>
      </c>
      <c r="F3">
        <v>1.5539999999999998</v>
      </c>
      <c r="G3">
        <v>0.69929999999999992</v>
      </c>
    </row>
    <row r="4" spans="1:7">
      <c r="A4" t="s">
        <v>940</v>
      </c>
      <c r="B4" t="s">
        <v>1106</v>
      </c>
      <c r="C4" t="s">
        <v>1107</v>
      </c>
      <c r="D4" s="9">
        <v>1</v>
      </c>
      <c r="E4">
        <v>12.95</v>
      </c>
      <c r="F4">
        <v>1.2949999999999999</v>
      </c>
      <c r="G4">
        <v>1.1655</v>
      </c>
    </row>
    <row r="5" spans="1:7">
      <c r="A5" t="s">
        <v>1060</v>
      </c>
      <c r="B5" t="s">
        <v>1106</v>
      </c>
      <c r="C5" t="s">
        <v>1107</v>
      </c>
      <c r="D5" s="9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965</v>
      </c>
      <c r="B6" t="s">
        <v>1106</v>
      </c>
      <c r="C6" t="s">
        <v>1108</v>
      </c>
      <c r="D6" s="9">
        <v>0.2</v>
      </c>
      <c r="E6">
        <v>3.375</v>
      </c>
      <c r="F6">
        <v>1.6875</v>
      </c>
      <c r="G6">
        <v>0.30374999999999996</v>
      </c>
    </row>
    <row r="7" spans="1:7">
      <c r="A7" t="s">
        <v>979</v>
      </c>
      <c r="B7" t="s">
        <v>1106</v>
      </c>
      <c r="C7" t="s">
        <v>1108</v>
      </c>
      <c r="D7" s="9">
        <v>0.5</v>
      </c>
      <c r="E7">
        <v>6.75</v>
      </c>
      <c r="F7">
        <v>1.35</v>
      </c>
      <c r="G7">
        <v>0.60749999999999993</v>
      </c>
    </row>
    <row r="8" spans="1:7">
      <c r="A8" t="s">
        <v>975</v>
      </c>
      <c r="B8" t="s">
        <v>1106</v>
      </c>
      <c r="C8" t="s">
        <v>1108</v>
      </c>
      <c r="D8" s="9">
        <v>1</v>
      </c>
      <c r="E8">
        <v>11.25</v>
      </c>
      <c r="F8">
        <v>1.125</v>
      </c>
      <c r="G8">
        <v>1.0125</v>
      </c>
    </row>
    <row r="9" spans="1:7">
      <c r="A9" t="s">
        <v>1040</v>
      </c>
      <c r="B9" t="s">
        <v>1106</v>
      </c>
      <c r="C9" t="s">
        <v>1108</v>
      </c>
      <c r="D9" s="9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971</v>
      </c>
      <c r="B10" t="s">
        <v>1106</v>
      </c>
      <c r="C10" t="s">
        <v>1109</v>
      </c>
      <c r="D10" s="9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982</v>
      </c>
      <c r="B11" t="s">
        <v>1106</v>
      </c>
      <c r="C11" t="s">
        <v>1109</v>
      </c>
      <c r="D11" s="9">
        <v>0.5</v>
      </c>
      <c r="E11">
        <v>5.97</v>
      </c>
      <c r="F11">
        <v>1.194</v>
      </c>
      <c r="G11">
        <v>0.5373</v>
      </c>
    </row>
    <row r="12" spans="1:7">
      <c r="A12" t="s">
        <v>954</v>
      </c>
      <c r="B12" t="s">
        <v>1106</v>
      </c>
      <c r="C12" t="s">
        <v>1109</v>
      </c>
      <c r="D12" s="9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1010</v>
      </c>
      <c r="B13" t="s">
        <v>1106</v>
      </c>
      <c r="C13" t="s">
        <v>1109</v>
      </c>
      <c r="D13" s="9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1047</v>
      </c>
      <c r="B14" t="s">
        <v>1110</v>
      </c>
      <c r="C14" t="s">
        <v>1107</v>
      </c>
      <c r="D14" s="9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1032</v>
      </c>
      <c r="B15" t="s">
        <v>1110</v>
      </c>
      <c r="C15" t="s">
        <v>1107</v>
      </c>
      <c r="D15" s="9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1051</v>
      </c>
      <c r="B16" t="s">
        <v>1110</v>
      </c>
      <c r="C16" t="s">
        <v>1107</v>
      </c>
      <c r="D16" s="9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943</v>
      </c>
      <c r="B17" t="s">
        <v>1110</v>
      </c>
      <c r="C17" t="s">
        <v>1107</v>
      </c>
      <c r="D17" s="9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1035</v>
      </c>
      <c r="B18" t="s">
        <v>1110</v>
      </c>
      <c r="C18" t="s">
        <v>1108</v>
      </c>
      <c r="D18" s="9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951</v>
      </c>
      <c r="B19" t="s">
        <v>1110</v>
      </c>
      <c r="C19" t="s">
        <v>1108</v>
      </c>
      <c r="D19" s="9">
        <v>0.5</v>
      </c>
      <c r="E19">
        <v>5.97</v>
      </c>
      <c r="F19">
        <v>1.194</v>
      </c>
      <c r="G19">
        <v>0.35819999999999996</v>
      </c>
    </row>
    <row r="20" spans="1:7">
      <c r="A20" t="s">
        <v>937</v>
      </c>
      <c r="B20" t="s">
        <v>1110</v>
      </c>
      <c r="C20" t="s">
        <v>1108</v>
      </c>
      <c r="D20" s="9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963</v>
      </c>
      <c r="B21" t="s">
        <v>1110</v>
      </c>
      <c r="C21" t="s">
        <v>1108</v>
      </c>
      <c r="D21" s="9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999</v>
      </c>
      <c r="B22" t="s">
        <v>1110</v>
      </c>
      <c r="C22" t="s">
        <v>1109</v>
      </c>
      <c r="D22" s="9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1026</v>
      </c>
      <c r="B23" t="s">
        <v>1110</v>
      </c>
      <c r="C23" t="s">
        <v>1109</v>
      </c>
      <c r="D23" s="9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1045</v>
      </c>
      <c r="B24" t="s">
        <v>1110</v>
      </c>
      <c r="C24" t="s">
        <v>1109</v>
      </c>
      <c r="D24" s="9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959</v>
      </c>
      <c r="B25" t="s">
        <v>1110</v>
      </c>
      <c r="C25" t="s">
        <v>1109</v>
      </c>
      <c r="D25" s="9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949</v>
      </c>
      <c r="B26" t="s">
        <v>1111</v>
      </c>
      <c r="C26" t="s">
        <v>1107</v>
      </c>
      <c r="D26" s="9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989</v>
      </c>
      <c r="B27" t="s">
        <v>1111</v>
      </c>
      <c r="C27" t="s">
        <v>1107</v>
      </c>
      <c r="D27" s="9">
        <v>0.5</v>
      </c>
      <c r="E27">
        <v>9.51</v>
      </c>
      <c r="F27">
        <v>1.9019999999999999</v>
      </c>
      <c r="G27">
        <v>1.2363</v>
      </c>
    </row>
    <row r="28" spans="1:7">
      <c r="A28" t="s">
        <v>1018</v>
      </c>
      <c r="B28" t="s">
        <v>1111</v>
      </c>
      <c r="C28" t="s">
        <v>1107</v>
      </c>
      <c r="D28" s="9">
        <v>1</v>
      </c>
      <c r="E28">
        <v>15.85</v>
      </c>
      <c r="F28">
        <v>1.585</v>
      </c>
      <c r="G28">
        <v>2.0605000000000002</v>
      </c>
    </row>
    <row r="29" spans="1:7">
      <c r="A29" t="s">
        <v>1001</v>
      </c>
      <c r="B29" t="s">
        <v>1111</v>
      </c>
      <c r="C29" t="s">
        <v>1107</v>
      </c>
      <c r="D29" s="9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985</v>
      </c>
      <c r="B30" t="s">
        <v>1111</v>
      </c>
      <c r="C30" t="s">
        <v>1108</v>
      </c>
      <c r="D30" s="9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986</v>
      </c>
      <c r="B31" t="s">
        <v>1111</v>
      </c>
      <c r="C31" t="s">
        <v>1108</v>
      </c>
      <c r="D31" s="9">
        <v>0.5</v>
      </c>
      <c r="E31">
        <v>8.73</v>
      </c>
      <c r="F31">
        <v>1.746</v>
      </c>
      <c r="G31">
        <v>1.1349</v>
      </c>
    </row>
    <row r="32" spans="1:7">
      <c r="A32" t="s">
        <v>996</v>
      </c>
      <c r="B32" t="s">
        <v>1111</v>
      </c>
      <c r="C32" t="s">
        <v>1108</v>
      </c>
      <c r="D32" s="9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1056</v>
      </c>
      <c r="B33" t="s">
        <v>1111</v>
      </c>
      <c r="C33" t="s">
        <v>1108</v>
      </c>
      <c r="D33" s="9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961</v>
      </c>
      <c r="B34" t="s">
        <v>1111</v>
      </c>
      <c r="C34" t="s">
        <v>1109</v>
      </c>
      <c r="D34" s="9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1013</v>
      </c>
      <c r="B35" t="s">
        <v>1111</v>
      </c>
      <c r="C35" t="s">
        <v>1109</v>
      </c>
      <c r="D35" s="9">
        <v>0.5</v>
      </c>
      <c r="E35">
        <v>7.77</v>
      </c>
      <c r="F35">
        <v>1.5539999999999998</v>
      </c>
      <c r="G35">
        <v>1.0101</v>
      </c>
    </row>
    <row r="36" spans="1:7">
      <c r="A36" t="s">
        <v>945</v>
      </c>
      <c r="B36" t="s">
        <v>1111</v>
      </c>
      <c r="C36" t="s">
        <v>1109</v>
      </c>
      <c r="D36" s="9">
        <v>1</v>
      </c>
      <c r="E36">
        <v>12.95</v>
      </c>
      <c r="F36">
        <v>1.2949999999999999</v>
      </c>
      <c r="G36">
        <v>1.6835</v>
      </c>
    </row>
    <row r="37" spans="1:7">
      <c r="A37" t="s">
        <v>1004</v>
      </c>
      <c r="B37" t="s">
        <v>1111</v>
      </c>
      <c r="C37" t="s">
        <v>1109</v>
      </c>
      <c r="D37" s="9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1086</v>
      </c>
      <c r="B38" t="s">
        <v>1112</v>
      </c>
      <c r="C38" t="s">
        <v>1107</v>
      </c>
      <c r="D38" s="9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1043</v>
      </c>
      <c r="B39" t="s">
        <v>1112</v>
      </c>
      <c r="C39" t="s">
        <v>1107</v>
      </c>
      <c r="D39" s="9">
        <v>0.5</v>
      </c>
      <c r="E39">
        <v>8.91</v>
      </c>
      <c r="F39">
        <v>1.782</v>
      </c>
      <c r="G39">
        <v>0.98009999999999997</v>
      </c>
    </row>
    <row r="40" spans="1:7">
      <c r="A40" t="s">
        <v>1021</v>
      </c>
      <c r="B40" t="s">
        <v>1112</v>
      </c>
      <c r="C40" t="s">
        <v>1107</v>
      </c>
      <c r="D40" s="9">
        <v>1</v>
      </c>
      <c r="E40">
        <v>14.85</v>
      </c>
      <c r="F40">
        <v>1.4849999999999999</v>
      </c>
      <c r="G40">
        <v>1.6335</v>
      </c>
    </row>
    <row r="41" spans="1:7">
      <c r="A41" t="s">
        <v>956</v>
      </c>
      <c r="B41" t="s">
        <v>1112</v>
      </c>
      <c r="C41" t="s">
        <v>1107</v>
      </c>
      <c r="D41" s="9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977</v>
      </c>
      <c r="B42" t="s">
        <v>1112</v>
      </c>
      <c r="C42" t="s">
        <v>1108</v>
      </c>
      <c r="D42" s="9">
        <v>0.2</v>
      </c>
      <c r="E42">
        <v>4.125</v>
      </c>
      <c r="F42">
        <v>2.0625</v>
      </c>
      <c r="G42">
        <v>0.45374999999999999</v>
      </c>
    </row>
    <row r="43" spans="1:7">
      <c r="A43" t="s">
        <v>938</v>
      </c>
      <c r="B43" t="s">
        <v>1112</v>
      </c>
      <c r="C43" t="s">
        <v>1108</v>
      </c>
      <c r="D43" s="9">
        <v>0.5</v>
      </c>
      <c r="E43">
        <v>8.25</v>
      </c>
      <c r="F43">
        <v>1.65</v>
      </c>
      <c r="G43">
        <v>0.90749999999999997</v>
      </c>
    </row>
    <row r="44" spans="1:7">
      <c r="A44" t="s">
        <v>942</v>
      </c>
      <c r="B44" t="s">
        <v>1112</v>
      </c>
      <c r="C44" t="s">
        <v>1108</v>
      </c>
      <c r="D44" s="9">
        <v>1</v>
      </c>
      <c r="E44">
        <v>13.75</v>
      </c>
      <c r="F44">
        <v>1.375</v>
      </c>
      <c r="G44">
        <v>1.5125</v>
      </c>
    </row>
    <row r="45" spans="1:7">
      <c r="A45" t="s">
        <v>1006</v>
      </c>
      <c r="B45" t="s">
        <v>1112</v>
      </c>
      <c r="C45" t="s">
        <v>1108</v>
      </c>
      <c r="D45" s="9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969</v>
      </c>
      <c r="B46" t="s">
        <v>1112</v>
      </c>
      <c r="C46" t="s">
        <v>1109</v>
      </c>
      <c r="D46" s="9">
        <v>0.2</v>
      </c>
      <c r="E46">
        <v>3.645</v>
      </c>
      <c r="F46">
        <v>1.8225</v>
      </c>
      <c r="G46">
        <v>0.40095000000000003</v>
      </c>
    </row>
    <row r="47" spans="1:7">
      <c r="A47" t="s">
        <v>947</v>
      </c>
      <c r="B47" t="s">
        <v>1112</v>
      </c>
      <c r="C47" t="s">
        <v>1109</v>
      </c>
      <c r="D47" s="9">
        <v>0.5</v>
      </c>
      <c r="E47">
        <v>7.29</v>
      </c>
      <c r="F47">
        <v>1.458</v>
      </c>
      <c r="G47">
        <v>0.80190000000000006</v>
      </c>
    </row>
    <row r="48" spans="1:7">
      <c r="A48" t="s">
        <v>1081</v>
      </c>
      <c r="B48" t="s">
        <v>1112</v>
      </c>
      <c r="C48" t="s">
        <v>1109</v>
      </c>
      <c r="D48" s="9">
        <v>1</v>
      </c>
      <c r="E48">
        <v>12.15</v>
      </c>
      <c r="F48">
        <v>1.2150000000000001</v>
      </c>
      <c r="G48">
        <v>1.3365</v>
      </c>
    </row>
    <row r="49" spans="1:7">
      <c r="A49" t="s">
        <v>1113</v>
      </c>
      <c r="B49" t="s">
        <v>1112</v>
      </c>
      <c r="C49" t="s">
        <v>1109</v>
      </c>
      <c r="D49" s="9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customer_data</vt:lpstr>
      <vt:lpstr>TotalSales</vt:lpstr>
      <vt:lpstr>Dashboard</vt:lpstr>
      <vt:lpstr>order_data</vt:lpstr>
      <vt:lpstr>Product_data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Shyamal Biswas</cp:lastModifiedBy>
  <cp:revision/>
  <dcterms:created xsi:type="dcterms:W3CDTF">2026-05-22T17:29:45Z</dcterms:created>
  <dcterms:modified xsi:type="dcterms:W3CDTF">2026-05-25T01:39:02Z</dcterms:modified>
  <cp:category/>
  <cp:contentStatus/>
</cp:coreProperties>
</file>